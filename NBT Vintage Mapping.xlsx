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mann/Desktop/CA NBT ACC &amp; ECR/"/>
    </mc:Choice>
  </mc:AlternateContent>
  <xr:revisionPtr revIDLastSave="0" documentId="13_ncr:1_{485A5F04-D835-0D42-99D3-9C58BB356278}" xr6:coauthVersionLast="47" xr6:coauthVersionMax="47" xr10:uidLastSave="{00000000-0000-0000-0000-000000000000}"/>
  <bookViews>
    <workbookView xWindow="-37500" yWindow="-28300" windowWidth="51200" windowHeight="28300" xr2:uid="{124FFFEC-CFCC-BF4D-A9A0-318F90BB10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4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C38" i="1" s="1"/>
  <c r="E3" i="1"/>
  <c r="B39" i="1" l="1"/>
  <c r="F3" i="1"/>
  <c r="E4" i="1"/>
  <c r="C6" i="1"/>
  <c r="C15" i="1"/>
  <c r="C22" i="1"/>
  <c r="C37" i="1"/>
  <c r="C34" i="1"/>
  <c r="C26" i="1"/>
  <c r="C18" i="1"/>
  <c r="C10" i="1"/>
  <c r="C31" i="1"/>
  <c r="C23" i="1"/>
  <c r="C7" i="1"/>
  <c r="C30" i="1"/>
  <c r="C14" i="1"/>
  <c r="C29" i="1"/>
  <c r="C21" i="1"/>
  <c r="C13" i="1"/>
  <c r="C5" i="1"/>
  <c r="C36" i="1"/>
  <c r="C28" i="1"/>
  <c r="C20" i="1"/>
  <c r="C12" i="1"/>
  <c r="C4" i="1"/>
  <c r="D5" i="1" s="1"/>
  <c r="C35" i="1"/>
  <c r="C27" i="1"/>
  <c r="C19" i="1"/>
  <c r="C11" i="1"/>
  <c r="C33" i="1"/>
  <c r="C25" i="1"/>
  <c r="C17" i="1"/>
  <c r="C9" i="1"/>
  <c r="C32" i="1"/>
  <c r="C24" i="1"/>
  <c r="C16" i="1"/>
  <c r="C8" i="1"/>
  <c r="B40" i="1" l="1"/>
  <c r="C39" i="1"/>
  <c r="F4" i="1"/>
  <c r="E5" i="1"/>
  <c r="F5" i="1" s="1"/>
  <c r="D6" i="1"/>
  <c r="B41" i="1" l="1"/>
  <c r="C40" i="1"/>
  <c r="E6" i="1"/>
  <c r="F6" i="1" s="1"/>
  <c r="D7" i="1"/>
  <c r="B42" i="1" l="1"/>
  <c r="C41" i="1"/>
  <c r="D8" i="1"/>
  <c r="E7" i="1"/>
  <c r="F7" i="1" s="1"/>
  <c r="B43" i="1" l="1"/>
  <c r="C42" i="1"/>
  <c r="D9" i="1"/>
  <c r="E8" i="1"/>
  <c r="F8" i="1" s="1"/>
  <c r="B44" i="1" l="1"/>
  <c r="C43" i="1"/>
  <c r="D10" i="1"/>
  <c r="E9" i="1"/>
  <c r="F9" i="1" s="1"/>
  <c r="B45" i="1" l="1"/>
  <c r="C44" i="1"/>
  <c r="D11" i="1"/>
  <c r="E10" i="1"/>
  <c r="F10" i="1" s="1"/>
  <c r="B46" i="1" l="1"/>
  <c r="C45" i="1"/>
  <c r="D12" i="1"/>
  <c r="E11" i="1"/>
  <c r="F11" i="1" s="1"/>
  <c r="B47" i="1" l="1"/>
  <c r="C46" i="1"/>
  <c r="E12" i="1"/>
  <c r="F12" i="1" s="1"/>
  <c r="D13" i="1"/>
  <c r="B48" i="1" l="1"/>
  <c r="C47" i="1"/>
  <c r="E13" i="1"/>
  <c r="F13" i="1" s="1"/>
  <c r="D14" i="1"/>
  <c r="B49" i="1" l="1"/>
  <c r="C48" i="1"/>
  <c r="D15" i="1"/>
  <c r="E14" i="1"/>
  <c r="F14" i="1" s="1"/>
  <c r="B50" i="1" l="1"/>
  <c r="C49" i="1"/>
  <c r="D16" i="1"/>
  <c r="E15" i="1"/>
  <c r="F15" i="1" s="1"/>
  <c r="B51" i="1" l="1"/>
  <c r="C50" i="1"/>
  <c r="E16" i="1"/>
  <c r="F16" i="1" s="1"/>
  <c r="D17" i="1"/>
  <c r="B52" i="1" l="1"/>
  <c r="C51" i="1"/>
  <c r="E17" i="1"/>
  <c r="F17" i="1" s="1"/>
  <c r="D18" i="1"/>
  <c r="B53" i="1" l="1"/>
  <c r="C52" i="1"/>
  <c r="E18" i="1"/>
  <c r="F18" i="1" s="1"/>
  <c r="D19" i="1"/>
  <c r="B54" i="1" l="1"/>
  <c r="C53" i="1"/>
  <c r="E19" i="1"/>
  <c r="F19" i="1" s="1"/>
  <c r="D20" i="1"/>
  <c r="B55" i="1" l="1"/>
  <c r="C54" i="1"/>
  <c r="E20" i="1"/>
  <c r="F20" i="1" s="1"/>
  <c r="D21" i="1"/>
  <c r="B56" i="1" l="1"/>
  <c r="C55" i="1"/>
  <c r="E21" i="1"/>
  <c r="F21" i="1" s="1"/>
  <c r="D22" i="1"/>
  <c r="B57" i="1" l="1"/>
  <c r="C56" i="1"/>
  <c r="E22" i="1"/>
  <c r="F22" i="1" s="1"/>
  <c r="D23" i="1"/>
  <c r="C57" i="1" l="1"/>
  <c r="B58" i="1"/>
  <c r="D24" i="1"/>
  <c r="E23" i="1"/>
  <c r="F23" i="1" s="1"/>
  <c r="B59" i="1" l="1"/>
  <c r="C58" i="1"/>
  <c r="D25" i="1"/>
  <c r="E24" i="1"/>
  <c r="F24" i="1" s="1"/>
  <c r="B60" i="1" l="1"/>
  <c r="C59" i="1"/>
  <c r="E25" i="1"/>
  <c r="F25" i="1" s="1"/>
  <c r="D26" i="1"/>
  <c r="B61" i="1" l="1"/>
  <c r="C60" i="1"/>
  <c r="E26" i="1"/>
  <c r="F26" i="1" s="1"/>
  <c r="D27" i="1"/>
  <c r="B62" i="1" l="1"/>
  <c r="C61" i="1"/>
  <c r="E27" i="1"/>
  <c r="F27" i="1" s="1"/>
  <c r="D28" i="1"/>
  <c r="B63" i="1" l="1"/>
  <c r="C62" i="1"/>
  <c r="E28" i="1"/>
  <c r="F28" i="1" s="1"/>
  <c r="D29" i="1"/>
  <c r="B64" i="1" l="1"/>
  <c r="C63" i="1"/>
  <c r="E29" i="1"/>
  <c r="F29" i="1" s="1"/>
  <c r="D30" i="1"/>
  <c r="B65" i="1" l="1"/>
  <c r="C64" i="1"/>
  <c r="D31" i="1"/>
  <c r="E30" i="1"/>
  <c r="F30" i="1" s="1"/>
  <c r="B66" i="1" l="1"/>
  <c r="C65" i="1"/>
  <c r="D32" i="1"/>
  <c r="E31" i="1"/>
  <c r="F31" i="1" s="1"/>
  <c r="B67" i="1" l="1"/>
  <c r="C66" i="1"/>
  <c r="D33" i="1"/>
  <c r="E32" i="1"/>
  <c r="F32" i="1" s="1"/>
  <c r="B68" i="1" l="1"/>
  <c r="C67" i="1"/>
  <c r="E33" i="1"/>
  <c r="F33" i="1" s="1"/>
  <c r="D34" i="1"/>
  <c r="B69" i="1" l="1"/>
  <c r="C68" i="1"/>
  <c r="E34" i="1"/>
  <c r="F34" i="1" s="1"/>
  <c r="D35" i="1"/>
  <c r="C69" i="1" l="1"/>
  <c r="B70" i="1"/>
  <c r="E35" i="1"/>
  <c r="F35" i="1" s="1"/>
  <c r="D36" i="1"/>
  <c r="B71" i="1" l="1"/>
  <c r="C70" i="1"/>
  <c r="E36" i="1"/>
  <c r="F36" i="1" s="1"/>
  <c r="D37" i="1"/>
  <c r="B72" i="1" l="1"/>
  <c r="C71" i="1"/>
  <c r="E37" i="1"/>
  <c r="F37" i="1" s="1"/>
  <c r="D38" i="1"/>
  <c r="D39" i="1" s="1"/>
  <c r="D40" i="1" l="1"/>
  <c r="E39" i="1"/>
  <c r="F39" i="1" s="1"/>
  <c r="B73" i="1"/>
  <c r="C72" i="1"/>
  <c r="E38" i="1"/>
  <c r="F38" i="1" s="1"/>
  <c r="B74" i="1" l="1"/>
  <c r="C73" i="1"/>
  <c r="D41" i="1"/>
  <c r="E40" i="1"/>
  <c r="F40" i="1" s="1"/>
  <c r="D42" i="1" l="1"/>
  <c r="E41" i="1"/>
  <c r="F41" i="1"/>
  <c r="B75" i="1"/>
  <c r="C74" i="1"/>
  <c r="B76" i="1" l="1"/>
  <c r="C75" i="1"/>
  <c r="D43" i="1"/>
  <c r="E42" i="1"/>
  <c r="F42" i="1"/>
  <c r="D44" i="1" l="1"/>
  <c r="E43" i="1"/>
  <c r="F43" i="1"/>
  <c r="B77" i="1"/>
  <c r="C76" i="1"/>
  <c r="B78" i="1" l="1"/>
  <c r="C77" i="1"/>
  <c r="D45" i="1"/>
  <c r="E44" i="1"/>
  <c r="F44" i="1" s="1"/>
  <c r="D46" i="1" l="1"/>
  <c r="E45" i="1"/>
  <c r="F45" i="1"/>
  <c r="B79" i="1"/>
  <c r="C78" i="1"/>
  <c r="B80" i="1" l="1"/>
  <c r="C79" i="1"/>
  <c r="D47" i="1"/>
  <c r="E46" i="1"/>
  <c r="F46" i="1" s="1"/>
  <c r="E47" i="1" l="1"/>
  <c r="F47" i="1" s="1"/>
  <c r="D48" i="1"/>
  <c r="B81" i="1"/>
  <c r="C80" i="1"/>
  <c r="B82" i="1" l="1"/>
  <c r="C81" i="1"/>
  <c r="D49" i="1"/>
  <c r="E48" i="1"/>
  <c r="F48" i="1" s="1"/>
  <c r="D50" i="1" l="1"/>
  <c r="E49" i="1"/>
  <c r="F49" i="1" s="1"/>
  <c r="B83" i="1"/>
  <c r="C82" i="1"/>
  <c r="B84" i="1" l="1"/>
  <c r="C83" i="1"/>
  <c r="D51" i="1"/>
  <c r="E50" i="1"/>
  <c r="F50" i="1" s="1"/>
  <c r="D52" i="1" l="1"/>
  <c r="E51" i="1"/>
  <c r="F51" i="1"/>
  <c r="B85" i="1"/>
  <c r="C84" i="1"/>
  <c r="B86" i="1" l="1"/>
  <c r="C85" i="1"/>
  <c r="D53" i="1"/>
  <c r="E52" i="1"/>
  <c r="F52" i="1"/>
  <c r="D54" i="1" l="1"/>
  <c r="E53" i="1"/>
  <c r="F53" i="1"/>
  <c r="B87" i="1"/>
  <c r="C86" i="1"/>
  <c r="B88" i="1" l="1"/>
  <c r="C87" i="1"/>
  <c r="D55" i="1"/>
  <c r="E54" i="1"/>
  <c r="F54" i="1" s="1"/>
  <c r="D56" i="1" l="1"/>
  <c r="E55" i="1"/>
  <c r="F55" i="1"/>
  <c r="B89" i="1"/>
  <c r="C88" i="1"/>
  <c r="B90" i="1" l="1"/>
  <c r="C89" i="1"/>
  <c r="D57" i="1"/>
  <c r="E56" i="1"/>
  <c r="F56" i="1" s="1"/>
  <c r="E57" i="1" l="1"/>
  <c r="F57" i="1" s="1"/>
  <c r="D58" i="1"/>
  <c r="B91" i="1"/>
  <c r="C90" i="1"/>
  <c r="B92" i="1" l="1"/>
  <c r="C91" i="1"/>
  <c r="E58" i="1"/>
  <c r="D59" i="1"/>
  <c r="F58" i="1"/>
  <c r="D60" i="1" l="1"/>
  <c r="E59" i="1"/>
  <c r="F59" i="1" s="1"/>
  <c r="B93" i="1"/>
  <c r="C92" i="1"/>
  <c r="C93" i="1" l="1"/>
  <c r="B94" i="1"/>
  <c r="E60" i="1"/>
  <c r="F60" i="1"/>
  <c r="D61" i="1"/>
  <c r="B95" i="1" l="1"/>
  <c r="C94" i="1"/>
  <c r="D62" i="1"/>
  <c r="E61" i="1"/>
  <c r="F61" i="1"/>
  <c r="B96" i="1" l="1"/>
  <c r="C95" i="1"/>
  <c r="E62" i="1"/>
  <c r="F62" i="1" s="1"/>
  <c r="D63" i="1"/>
  <c r="B97" i="1" l="1"/>
  <c r="C96" i="1"/>
  <c r="D64" i="1"/>
  <c r="E63" i="1"/>
  <c r="F63" i="1" s="1"/>
  <c r="B98" i="1" l="1"/>
  <c r="C97" i="1"/>
  <c r="E64" i="1"/>
  <c r="F64" i="1"/>
  <c r="D65" i="1"/>
  <c r="B99" i="1" l="1"/>
  <c r="C98" i="1"/>
  <c r="D66" i="1"/>
  <c r="E65" i="1"/>
  <c r="F65" i="1" s="1"/>
  <c r="B100" i="1" l="1"/>
  <c r="C99" i="1"/>
  <c r="E66" i="1"/>
  <c r="F66" i="1"/>
  <c r="D67" i="1"/>
  <c r="B101" i="1" l="1"/>
  <c r="C100" i="1"/>
  <c r="D68" i="1"/>
  <c r="E67" i="1"/>
  <c r="F67" i="1"/>
  <c r="B102" i="1" l="1"/>
  <c r="C101" i="1"/>
  <c r="D69" i="1"/>
  <c r="E68" i="1"/>
  <c r="F68" i="1"/>
  <c r="B103" i="1" l="1"/>
  <c r="C102" i="1"/>
  <c r="D70" i="1"/>
  <c r="E69" i="1"/>
  <c r="F69" i="1" s="1"/>
  <c r="B104" i="1" l="1"/>
  <c r="C103" i="1"/>
  <c r="D71" i="1"/>
  <c r="E70" i="1"/>
  <c r="F70" i="1"/>
  <c r="B105" i="1" l="1"/>
  <c r="C104" i="1"/>
  <c r="D72" i="1"/>
  <c r="E71" i="1"/>
  <c r="F71" i="1" s="1"/>
  <c r="B106" i="1" l="1"/>
  <c r="C105" i="1"/>
  <c r="D73" i="1"/>
  <c r="E72" i="1"/>
  <c r="F72" i="1" s="1"/>
  <c r="B107" i="1" l="1"/>
  <c r="C106" i="1"/>
  <c r="D74" i="1"/>
  <c r="E73" i="1"/>
  <c r="F73" i="1"/>
  <c r="B108" i="1" l="1"/>
  <c r="C107" i="1"/>
  <c r="D75" i="1"/>
  <c r="E74" i="1"/>
  <c r="F74" i="1" s="1"/>
  <c r="B109" i="1" l="1"/>
  <c r="C108" i="1"/>
  <c r="D76" i="1"/>
  <c r="E75" i="1"/>
  <c r="F75" i="1" s="1"/>
  <c r="B110" i="1" l="1"/>
  <c r="C109" i="1"/>
  <c r="D77" i="1"/>
  <c r="E76" i="1"/>
  <c r="F76" i="1"/>
  <c r="B111" i="1" l="1"/>
  <c r="C110" i="1"/>
  <c r="D78" i="1"/>
  <c r="E77" i="1"/>
  <c r="F77" i="1" s="1"/>
  <c r="B112" i="1" l="1"/>
  <c r="C111" i="1"/>
  <c r="D79" i="1"/>
  <c r="E78" i="1"/>
  <c r="F78" i="1"/>
  <c r="B113" i="1" l="1"/>
  <c r="C112" i="1"/>
  <c r="D80" i="1"/>
  <c r="E79" i="1"/>
  <c r="F79" i="1" s="1"/>
  <c r="B114" i="1" l="1"/>
  <c r="C113" i="1"/>
  <c r="D81" i="1"/>
  <c r="E80" i="1"/>
  <c r="F80" i="1" s="1"/>
  <c r="B115" i="1" l="1"/>
  <c r="C114" i="1"/>
  <c r="D82" i="1"/>
  <c r="E81" i="1"/>
  <c r="F81" i="1" s="1"/>
  <c r="B116" i="1" l="1"/>
  <c r="C115" i="1"/>
  <c r="D83" i="1"/>
  <c r="E82" i="1"/>
  <c r="F82" i="1" s="1"/>
  <c r="B117" i="1" l="1"/>
  <c r="C116" i="1"/>
  <c r="D84" i="1"/>
  <c r="E83" i="1"/>
  <c r="F83" i="1" s="1"/>
  <c r="B118" i="1" l="1"/>
  <c r="C117" i="1"/>
  <c r="D85" i="1"/>
  <c r="E84" i="1"/>
  <c r="F84" i="1"/>
  <c r="B119" i="1" l="1"/>
  <c r="C118" i="1"/>
  <c r="D86" i="1"/>
  <c r="E85" i="1"/>
  <c r="F85" i="1" s="1"/>
  <c r="B120" i="1" l="1"/>
  <c r="C119" i="1"/>
  <c r="D87" i="1"/>
  <c r="E86" i="1"/>
  <c r="F86" i="1"/>
  <c r="B121" i="1" l="1"/>
  <c r="C120" i="1"/>
  <c r="D88" i="1"/>
  <c r="E87" i="1"/>
  <c r="F87" i="1" s="1"/>
  <c r="B122" i="1" l="1"/>
  <c r="C122" i="1" s="1"/>
  <c r="C121" i="1"/>
  <c r="D89" i="1"/>
  <c r="E88" i="1"/>
  <c r="F88" i="1" s="1"/>
  <c r="D90" i="1" l="1"/>
  <c r="E89" i="1"/>
  <c r="F89" i="1" s="1"/>
  <c r="D91" i="1" l="1"/>
  <c r="E90" i="1"/>
  <c r="F90" i="1" s="1"/>
  <c r="D92" i="1" l="1"/>
  <c r="E91" i="1"/>
  <c r="F91" i="1"/>
  <c r="D93" i="1" l="1"/>
  <c r="D94" i="1" s="1"/>
  <c r="E92" i="1"/>
  <c r="F92" i="1"/>
  <c r="E94" i="1" l="1"/>
  <c r="F94" i="1" s="1"/>
  <c r="D95" i="1"/>
  <c r="E93" i="1"/>
  <c r="F93" i="1" s="1"/>
  <c r="D96" i="1" l="1"/>
  <c r="E95" i="1"/>
  <c r="F95" i="1" s="1"/>
  <c r="D97" i="1" l="1"/>
  <c r="E96" i="1"/>
  <c r="F96" i="1" s="1"/>
  <c r="D98" i="1" l="1"/>
  <c r="E97" i="1"/>
  <c r="F97" i="1" s="1"/>
  <c r="E98" i="1" l="1"/>
  <c r="F98" i="1" s="1"/>
  <c r="D99" i="1"/>
  <c r="D100" i="1" l="1"/>
  <c r="E99" i="1"/>
  <c r="F99" i="1" s="1"/>
  <c r="D101" i="1" l="1"/>
  <c r="E100" i="1"/>
  <c r="F100" i="1" s="1"/>
  <c r="D102" i="1" l="1"/>
  <c r="E101" i="1"/>
  <c r="F101" i="1"/>
  <c r="E102" i="1" l="1"/>
  <c r="F102" i="1" s="1"/>
  <c r="D103" i="1"/>
  <c r="D104" i="1" l="1"/>
  <c r="E103" i="1"/>
  <c r="F103" i="1"/>
  <c r="D105" i="1" l="1"/>
  <c r="E104" i="1"/>
  <c r="F104" i="1"/>
  <c r="E105" i="1" l="1"/>
  <c r="D106" i="1"/>
  <c r="F105" i="1"/>
  <c r="D107" i="1" l="1"/>
  <c r="E106" i="1"/>
  <c r="F106" i="1" s="1"/>
  <c r="D108" i="1" l="1"/>
  <c r="E107" i="1"/>
  <c r="F107" i="1" s="1"/>
  <c r="E108" i="1" l="1"/>
  <c r="F108" i="1" s="1"/>
  <c r="D109" i="1"/>
  <c r="D110" i="1" l="1"/>
  <c r="E109" i="1"/>
  <c r="F109" i="1" s="1"/>
  <c r="D111" i="1" l="1"/>
  <c r="E110" i="1"/>
  <c r="F110" i="1"/>
  <c r="D112" i="1" l="1"/>
  <c r="E111" i="1"/>
  <c r="F111" i="1" s="1"/>
  <c r="E112" i="1" l="1"/>
  <c r="F112" i="1" s="1"/>
  <c r="D113" i="1"/>
  <c r="E113" i="1" l="1"/>
  <c r="D114" i="1"/>
  <c r="F113" i="1"/>
  <c r="D115" i="1" l="1"/>
  <c r="E114" i="1"/>
  <c r="F114" i="1" s="1"/>
  <c r="D116" i="1" l="1"/>
  <c r="E115" i="1"/>
  <c r="F115" i="1" s="1"/>
  <c r="E116" i="1" l="1"/>
  <c r="F116" i="1" s="1"/>
  <c r="D117" i="1"/>
  <c r="D118" i="1" l="1"/>
  <c r="E117" i="1"/>
  <c r="F117" i="1" s="1"/>
  <c r="E118" i="1" l="1"/>
  <c r="F118" i="1" s="1"/>
  <c r="D119" i="1"/>
  <c r="E119" i="1" l="1"/>
  <c r="F119" i="1" s="1"/>
  <c r="D120" i="1"/>
  <c r="D121" i="1" l="1"/>
  <c r="E120" i="1"/>
  <c r="F120" i="1" s="1"/>
  <c r="D122" i="1" l="1"/>
  <c r="E122" i="1" s="1"/>
  <c r="F122" i="1" s="1"/>
  <c r="E121" i="1"/>
  <c r="F121" i="1" s="1"/>
</calcChain>
</file>

<file path=xl/sharedStrings.xml><?xml version="1.0" encoding="utf-8"?>
<sst xmlns="http://schemas.openxmlformats.org/spreadsheetml/2006/main" count="12" uniqueCount="11">
  <si>
    <t>Interconnection Year</t>
  </si>
  <si>
    <t>ACC Year</t>
  </si>
  <si>
    <t>Notes</t>
  </si>
  <si>
    <t>2028 customers are the first cohort not receiving the 9-year lock-in. This has no impact during the first year.</t>
  </si>
  <si>
    <t>This is the first case where a customer interconnecting after 2028-01-01 gets moved to the latest ACC vintage, rather than receiving the 9-year lock-in.</t>
  </si>
  <si>
    <t>For all customers interconnecting before 2028-01-01, the 9-year lock-in mechanism is based on exact PTO date, not PTO year. For simplicity and illustrative purposes, this assumes January 1 IX. In reality, summer dispatch could get quite complex as customers see their export compensation rates change mid-year and mid-month, and we would need to dynamically move customers from one cohort to the other each day.</t>
  </si>
  <si>
    <t>Last Year Of Lock-In</t>
  </si>
  <si>
    <t>NBT Year Number</t>
  </si>
  <si>
    <t>This is the first case where a customer gets moved to the latest ACC vintage after their 9-year lock-in expires.</t>
  </si>
  <si>
    <t>Number of ACC-Year Cohorts</t>
  </si>
  <si>
    <t>Calendar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</si>
</sst>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D332-1214-3A43-B171-1E1DD8E99DC2}">
  <dimension ref="B1:J122"/>
  <sheetViews>
    <sheetView tabSelected="1" zoomScale="111" workbookViewId="0">
      <selection activeCell="J32" sqref="J32"/>
    </sheetView>
  </sheetViews>
  <sheetFormatPr baseColWidth="10" defaultColWidth="11.1640625" defaultRowHeight="16" x14ac:dyDescent="0.2"/>
  <cols>
    <col min="1" max="1" width="11.1640625" style="1"/>
    <col min="2" max="2" width="16" style="1" bestFit="1" customWidth="1"/>
    <col min="3" max="3" width="12.5" style="1" bestFit="1" customWidth="1"/>
    <col min="4" max="4" width="18.1640625" style="1" bestFit="1" customWidth="1"/>
    <col min="5" max="5" width="17.6640625" style="1" bestFit="1" customWidth="1"/>
    <col min="6" max="6" width="8.5" style="1" bestFit="1" customWidth="1"/>
    <col min="7" max="7" width="127.83203125" style="16" bestFit="1" customWidth="1"/>
    <col min="8" max="8" width="11.1640625" style="1"/>
    <col min="9" max="9" width="12.5" style="1" bestFit="1" customWidth="1"/>
    <col min="10" max="10" width="25" style="1" bestFit="1" customWidth="1"/>
    <col min="11" max="16384" width="11.1640625" style="1"/>
  </cols>
  <sheetData>
    <row r="1" spans="2:10" ht="17" thickBot="1" x14ac:dyDescent="0.25"/>
    <row r="2" spans="2:10" ht="18" thickBot="1" x14ac:dyDescent="0.25">
      <c r="B2" s="7" t="s">
        <v>7</v>
      </c>
      <c r="C2" s="8" t="s">
        <v>10</v>
      </c>
      <c r="D2" s="8" t="s">
        <v>0</v>
      </c>
      <c r="E2" s="8" t="s">
        <v>6</v>
      </c>
      <c r="F2" s="8" t="s">
        <v>1</v>
      </c>
      <c r="G2" s="9" t="s">
        <v>2</v>
      </c>
      <c r="I2" s="3" t="s">
        <v>10</v>
      </c>
      <c r="J2" s="22" t="s">
        <v>9</v>
      </c>
    </row>
    <row r="3" spans="2:10" ht="52" thickBot="1" x14ac:dyDescent="0.25">
      <c r="B3" s="12">
        <v>1</v>
      </c>
      <c r="C3" s="13">
        <f>2022+B3</f>
        <v>2023</v>
      </c>
      <c r="D3" s="13">
        <v>2023</v>
      </c>
      <c r="E3" s="13">
        <f>IF(D3 &lt;= 2027, D3+8, "N/A")</f>
        <v>2031</v>
      </c>
      <c r="F3" s="13">
        <f>IF(OR(D3&gt;=2028, C3 &gt; E3),FLOOR(C3-1,2),FLOOR(D3-1,2))</f>
        <v>2022</v>
      </c>
      <c r="G3" s="17" t="s">
        <v>5</v>
      </c>
      <c r="I3" s="4">
        <v>2023</v>
      </c>
      <c r="J3" s="23">
        <v>1</v>
      </c>
    </row>
    <row r="4" spans="2:10" x14ac:dyDescent="0.2">
      <c r="B4" s="14">
        <f>IF(COUNTIF($B$3:B3, B3)=B3, B3+1, B3)</f>
        <v>2</v>
      </c>
      <c r="C4" s="15">
        <f t="shared" ref="C4:C67" si="0">2022+B4</f>
        <v>2024</v>
      </c>
      <c r="D4" s="15">
        <f>IF(D3=C3, 2023, D3+1)</f>
        <v>2023</v>
      </c>
      <c r="E4" s="15">
        <f t="shared" ref="E4:E67" si="1">IF(D4 &lt;= 2027, D4+8, "N/A")</f>
        <v>2031</v>
      </c>
      <c r="F4" s="15">
        <f t="shared" ref="F4:F57" si="2">IF(OR(D4&gt;=2028, C4 &gt; E4),FLOOR(C4-1,2),FLOOR(D4-1,2))</f>
        <v>2022</v>
      </c>
      <c r="G4" s="18"/>
      <c r="I4" s="4">
        <v>2024</v>
      </c>
      <c r="J4" s="23">
        <v>1</v>
      </c>
    </row>
    <row r="5" spans="2:10" ht="17" thickBot="1" x14ac:dyDescent="0.25">
      <c r="B5" s="5">
        <f>IF(COUNTIF($B$3:B4, B4)=B4, B4+1, B4)</f>
        <v>2</v>
      </c>
      <c r="C5" s="6">
        <f t="shared" si="0"/>
        <v>2024</v>
      </c>
      <c r="D5" s="6">
        <f>IF(D4=C4, 2023, D4+1)</f>
        <v>2024</v>
      </c>
      <c r="E5" s="6">
        <f t="shared" si="1"/>
        <v>2032</v>
      </c>
      <c r="F5" s="6">
        <f t="shared" si="2"/>
        <v>2022</v>
      </c>
      <c r="G5" s="19"/>
      <c r="I5" s="4">
        <v>2025</v>
      </c>
      <c r="J5" s="23">
        <v>2</v>
      </c>
    </row>
    <row r="6" spans="2:10" x14ac:dyDescent="0.2">
      <c r="B6" s="14">
        <f>IF(COUNTIF($B$3:B5, B5)=B5, B5+1, B5)</f>
        <v>3</v>
      </c>
      <c r="C6" s="15">
        <f t="shared" si="0"/>
        <v>2025</v>
      </c>
      <c r="D6" s="15">
        <f>IF(D5=C5, 2023, D5+1)</f>
        <v>2023</v>
      </c>
      <c r="E6" s="15">
        <f t="shared" si="1"/>
        <v>2031</v>
      </c>
      <c r="F6" s="15">
        <f t="shared" si="2"/>
        <v>2022</v>
      </c>
      <c r="G6" s="18"/>
      <c r="I6" s="4">
        <v>2026</v>
      </c>
      <c r="J6" s="23">
        <v>2</v>
      </c>
    </row>
    <row r="7" spans="2:10" x14ac:dyDescent="0.2">
      <c r="B7" s="4">
        <f>IF(COUNTIF($B$3:B6, B6)=B6, B6+1, B6)</f>
        <v>3</v>
      </c>
      <c r="C7" s="2">
        <f t="shared" si="0"/>
        <v>2025</v>
      </c>
      <c r="D7" s="2">
        <f t="shared" ref="D7:D57" si="3">IF(D6=C6, 2023, D6+1)</f>
        <v>2024</v>
      </c>
      <c r="E7" s="2">
        <f t="shared" si="1"/>
        <v>2032</v>
      </c>
      <c r="F7" s="2">
        <f t="shared" si="2"/>
        <v>2022</v>
      </c>
      <c r="G7" s="20"/>
      <c r="I7" s="4">
        <v>2027</v>
      </c>
      <c r="J7" s="23">
        <v>3</v>
      </c>
    </row>
    <row r="8" spans="2:10" ht="17" thickBot="1" x14ac:dyDescent="0.25">
      <c r="B8" s="5">
        <f>IF(COUNTIF($B$3:B7, B7)=B7, B7+1, B7)</f>
        <v>3</v>
      </c>
      <c r="C8" s="6">
        <f t="shared" si="0"/>
        <v>2025</v>
      </c>
      <c r="D8" s="6">
        <f t="shared" si="3"/>
        <v>2025</v>
      </c>
      <c r="E8" s="6">
        <f t="shared" si="1"/>
        <v>2033</v>
      </c>
      <c r="F8" s="6">
        <f t="shared" si="2"/>
        <v>2024</v>
      </c>
      <c r="G8" s="19"/>
      <c r="I8" s="4">
        <v>2028</v>
      </c>
      <c r="J8" s="23">
        <v>3</v>
      </c>
    </row>
    <row r="9" spans="2:10" x14ac:dyDescent="0.2">
      <c r="B9" s="14">
        <f>IF(COUNTIF($B$3:B8, B8)=B8, B8+1, B8)</f>
        <v>4</v>
      </c>
      <c r="C9" s="15">
        <f t="shared" si="0"/>
        <v>2026</v>
      </c>
      <c r="D9" s="15">
        <f t="shared" si="3"/>
        <v>2023</v>
      </c>
      <c r="E9" s="15">
        <f t="shared" si="1"/>
        <v>2031</v>
      </c>
      <c r="F9" s="15">
        <f t="shared" si="2"/>
        <v>2022</v>
      </c>
      <c r="G9" s="18"/>
      <c r="I9" s="4">
        <v>2029</v>
      </c>
      <c r="J9" s="23">
        <v>4</v>
      </c>
    </row>
    <row r="10" spans="2:10" x14ac:dyDescent="0.2">
      <c r="B10" s="4">
        <f>IF(COUNTIF($B$3:B9, B9)=B9, B9+1, B9)</f>
        <v>4</v>
      </c>
      <c r="C10" s="2">
        <f t="shared" si="0"/>
        <v>2026</v>
      </c>
      <c r="D10" s="2">
        <f t="shared" si="3"/>
        <v>2024</v>
      </c>
      <c r="E10" s="2">
        <f t="shared" si="1"/>
        <v>2032</v>
      </c>
      <c r="F10" s="2">
        <f t="shared" si="2"/>
        <v>2022</v>
      </c>
      <c r="G10" s="20"/>
      <c r="I10" s="4">
        <v>2030</v>
      </c>
      <c r="J10" s="23">
        <v>4</v>
      </c>
    </row>
    <row r="11" spans="2:10" x14ac:dyDescent="0.2">
      <c r="B11" s="4">
        <f>IF(COUNTIF($B$3:B10, B10)=B10, B10+1, B10)</f>
        <v>4</v>
      </c>
      <c r="C11" s="2">
        <f t="shared" si="0"/>
        <v>2026</v>
      </c>
      <c r="D11" s="2">
        <f t="shared" si="3"/>
        <v>2025</v>
      </c>
      <c r="E11" s="2">
        <f t="shared" si="1"/>
        <v>2033</v>
      </c>
      <c r="F11" s="2">
        <f t="shared" si="2"/>
        <v>2024</v>
      </c>
      <c r="G11" s="20"/>
      <c r="I11" s="4">
        <v>2031</v>
      </c>
      <c r="J11" s="23">
        <v>4</v>
      </c>
    </row>
    <row r="12" spans="2:10" ht="17" thickBot="1" x14ac:dyDescent="0.25">
      <c r="B12" s="5">
        <f>IF(COUNTIF($B$3:B11, B11)=B11, B11+1, B11)</f>
        <v>4</v>
      </c>
      <c r="C12" s="6">
        <f t="shared" si="0"/>
        <v>2026</v>
      </c>
      <c r="D12" s="6">
        <f t="shared" si="3"/>
        <v>2026</v>
      </c>
      <c r="E12" s="6">
        <f t="shared" si="1"/>
        <v>2034</v>
      </c>
      <c r="F12" s="6">
        <f t="shared" si="2"/>
        <v>2024</v>
      </c>
      <c r="G12" s="19"/>
      <c r="I12" s="4">
        <v>2032</v>
      </c>
      <c r="J12" s="23">
        <v>4</v>
      </c>
    </row>
    <row r="13" spans="2:10" x14ac:dyDescent="0.2">
      <c r="B13" s="14">
        <f>IF(COUNTIF($B$3:B12, B12)=B12, B12+1, B12)</f>
        <v>5</v>
      </c>
      <c r="C13" s="15">
        <f t="shared" si="0"/>
        <v>2027</v>
      </c>
      <c r="D13" s="15">
        <f t="shared" si="3"/>
        <v>2023</v>
      </c>
      <c r="E13" s="15">
        <f t="shared" si="1"/>
        <v>2031</v>
      </c>
      <c r="F13" s="15">
        <f t="shared" si="2"/>
        <v>2022</v>
      </c>
      <c r="G13" s="18"/>
      <c r="I13" s="4">
        <v>2033</v>
      </c>
      <c r="J13" s="23">
        <v>3</v>
      </c>
    </row>
    <row r="14" spans="2:10" x14ac:dyDescent="0.2">
      <c r="B14" s="4">
        <f>IF(COUNTIF($B$3:B13, B13)=B13, B13+1, B13)</f>
        <v>5</v>
      </c>
      <c r="C14" s="2">
        <f t="shared" si="0"/>
        <v>2027</v>
      </c>
      <c r="D14" s="2">
        <f t="shared" si="3"/>
        <v>2024</v>
      </c>
      <c r="E14" s="2">
        <f t="shared" si="1"/>
        <v>2032</v>
      </c>
      <c r="F14" s="2">
        <f t="shared" si="2"/>
        <v>2022</v>
      </c>
      <c r="G14" s="20"/>
      <c r="I14" s="4">
        <v>2034</v>
      </c>
      <c r="J14" s="23">
        <v>3</v>
      </c>
    </row>
    <row r="15" spans="2:10" x14ac:dyDescent="0.2">
      <c r="B15" s="4">
        <f>IF(COUNTIF($B$3:B14, B14)=B14, B14+1, B14)</f>
        <v>5</v>
      </c>
      <c r="C15" s="2">
        <f t="shared" si="0"/>
        <v>2027</v>
      </c>
      <c r="D15" s="2">
        <f t="shared" si="3"/>
        <v>2025</v>
      </c>
      <c r="E15" s="2">
        <f t="shared" si="1"/>
        <v>2033</v>
      </c>
      <c r="F15" s="2">
        <f t="shared" si="2"/>
        <v>2024</v>
      </c>
      <c r="G15" s="20"/>
      <c r="I15" s="4">
        <v>2035</v>
      </c>
      <c r="J15" s="23">
        <v>2</v>
      </c>
    </row>
    <row r="16" spans="2:10" x14ac:dyDescent="0.2">
      <c r="B16" s="4">
        <f>IF(COUNTIF($B$3:B15, B15)=B15, B15+1, B15)</f>
        <v>5</v>
      </c>
      <c r="C16" s="2">
        <f t="shared" si="0"/>
        <v>2027</v>
      </c>
      <c r="D16" s="2">
        <f t="shared" si="3"/>
        <v>2026</v>
      </c>
      <c r="E16" s="2">
        <f t="shared" si="1"/>
        <v>2034</v>
      </c>
      <c r="F16" s="2">
        <f t="shared" si="2"/>
        <v>2024</v>
      </c>
      <c r="G16" s="20"/>
      <c r="I16" s="4">
        <v>2036</v>
      </c>
      <c r="J16" s="23">
        <v>1</v>
      </c>
    </row>
    <row r="17" spans="2:10" ht="17" thickBot="1" x14ac:dyDescent="0.25">
      <c r="B17" s="5">
        <f>IF(COUNTIF($B$3:B16, B16)=B16, B16+1, B16)</f>
        <v>5</v>
      </c>
      <c r="C17" s="6">
        <f t="shared" si="0"/>
        <v>2027</v>
      </c>
      <c r="D17" s="6">
        <f t="shared" si="3"/>
        <v>2027</v>
      </c>
      <c r="E17" s="6">
        <f t="shared" si="1"/>
        <v>2035</v>
      </c>
      <c r="F17" s="6">
        <f t="shared" si="2"/>
        <v>2026</v>
      </c>
      <c r="G17" s="19"/>
      <c r="I17" s="5">
        <v>2037</v>
      </c>
      <c r="J17" s="24">
        <v>1</v>
      </c>
    </row>
    <row r="18" spans="2:10" x14ac:dyDescent="0.2">
      <c r="B18" s="14">
        <f>IF(COUNTIF($B$3:B17, B17)=B17, B17+1, B17)</f>
        <v>6</v>
      </c>
      <c r="C18" s="15">
        <f t="shared" si="0"/>
        <v>2028</v>
      </c>
      <c r="D18" s="15">
        <f t="shared" si="3"/>
        <v>2023</v>
      </c>
      <c r="E18" s="15">
        <f t="shared" si="1"/>
        <v>2031</v>
      </c>
      <c r="F18" s="15">
        <f t="shared" si="2"/>
        <v>2022</v>
      </c>
      <c r="G18" s="18"/>
    </row>
    <row r="19" spans="2:10" x14ac:dyDescent="0.2">
      <c r="B19" s="4">
        <f>IF(COUNTIF($B$3:B18, B18)=B18, B18+1, B18)</f>
        <v>6</v>
      </c>
      <c r="C19" s="2">
        <f t="shared" si="0"/>
        <v>2028</v>
      </c>
      <c r="D19" s="2">
        <f t="shared" si="3"/>
        <v>2024</v>
      </c>
      <c r="E19" s="2">
        <f t="shared" si="1"/>
        <v>2032</v>
      </c>
      <c r="F19" s="2">
        <f t="shared" si="2"/>
        <v>2022</v>
      </c>
      <c r="G19" s="20"/>
    </row>
    <row r="20" spans="2:10" x14ac:dyDescent="0.2">
      <c r="B20" s="4">
        <f>IF(COUNTIF($B$3:B19, B19)=B19, B19+1, B19)</f>
        <v>6</v>
      </c>
      <c r="C20" s="2">
        <f t="shared" si="0"/>
        <v>2028</v>
      </c>
      <c r="D20" s="2">
        <f t="shared" si="3"/>
        <v>2025</v>
      </c>
      <c r="E20" s="2">
        <f t="shared" si="1"/>
        <v>2033</v>
      </c>
      <c r="F20" s="2">
        <f t="shared" si="2"/>
        <v>2024</v>
      </c>
      <c r="G20" s="20"/>
    </row>
    <row r="21" spans="2:10" x14ac:dyDescent="0.2">
      <c r="B21" s="4">
        <f>IF(COUNTIF($B$3:B20, B20)=B20, B20+1, B20)</f>
        <v>6</v>
      </c>
      <c r="C21" s="2">
        <f t="shared" si="0"/>
        <v>2028</v>
      </c>
      <c r="D21" s="2">
        <f t="shared" si="3"/>
        <v>2026</v>
      </c>
      <c r="E21" s="2">
        <f t="shared" si="1"/>
        <v>2034</v>
      </c>
      <c r="F21" s="2">
        <f t="shared" si="2"/>
        <v>2024</v>
      </c>
      <c r="G21" s="20"/>
    </row>
    <row r="22" spans="2:10" x14ac:dyDescent="0.2">
      <c r="B22" s="4">
        <f>IF(COUNTIF($B$3:B21, B21)=B21, B21+1, B21)</f>
        <v>6</v>
      </c>
      <c r="C22" s="2">
        <f t="shared" si="0"/>
        <v>2028</v>
      </c>
      <c r="D22" s="2">
        <f t="shared" si="3"/>
        <v>2027</v>
      </c>
      <c r="E22" s="2">
        <f t="shared" si="1"/>
        <v>2035</v>
      </c>
      <c r="F22" s="2">
        <f t="shared" si="2"/>
        <v>2026</v>
      </c>
      <c r="G22" s="20"/>
    </row>
    <row r="23" spans="2:10" ht="18" thickBot="1" x14ac:dyDescent="0.25">
      <c r="B23" s="5">
        <f>IF(COUNTIF($B$3:B22, B22)=B22, B22+1, B22)</f>
        <v>6</v>
      </c>
      <c r="C23" s="6">
        <f t="shared" si="0"/>
        <v>2028</v>
      </c>
      <c r="D23" s="6">
        <f t="shared" si="3"/>
        <v>2028</v>
      </c>
      <c r="E23" s="6" t="str">
        <f t="shared" si="1"/>
        <v>N/A</v>
      </c>
      <c r="F23" s="6">
        <f t="shared" si="2"/>
        <v>2026</v>
      </c>
      <c r="G23" s="19" t="s">
        <v>3</v>
      </c>
    </row>
    <row r="24" spans="2:10" x14ac:dyDescent="0.2">
      <c r="B24" s="14">
        <f>IF(COUNTIF($B$3:B23, B23)=B23, B23+1, B23)</f>
        <v>7</v>
      </c>
      <c r="C24" s="15">
        <f t="shared" si="0"/>
        <v>2029</v>
      </c>
      <c r="D24" s="15">
        <f t="shared" si="3"/>
        <v>2023</v>
      </c>
      <c r="E24" s="15">
        <f t="shared" si="1"/>
        <v>2031</v>
      </c>
      <c r="F24" s="15">
        <f t="shared" si="2"/>
        <v>2022</v>
      </c>
      <c r="G24" s="18"/>
    </row>
    <row r="25" spans="2:10" x14ac:dyDescent="0.2">
      <c r="B25" s="4">
        <f>IF(COUNTIF($B$3:B24, B24)=B24, B24+1, B24)</f>
        <v>7</v>
      </c>
      <c r="C25" s="2">
        <f t="shared" si="0"/>
        <v>2029</v>
      </c>
      <c r="D25" s="2">
        <f t="shared" si="3"/>
        <v>2024</v>
      </c>
      <c r="E25" s="2">
        <f t="shared" si="1"/>
        <v>2032</v>
      </c>
      <c r="F25" s="2">
        <f t="shared" si="2"/>
        <v>2022</v>
      </c>
      <c r="G25" s="20"/>
    </row>
    <row r="26" spans="2:10" x14ac:dyDescent="0.2">
      <c r="B26" s="4">
        <f>IF(COUNTIF($B$3:B25, B25)=B25, B25+1, B25)</f>
        <v>7</v>
      </c>
      <c r="C26" s="2">
        <f t="shared" si="0"/>
        <v>2029</v>
      </c>
      <c r="D26" s="2">
        <f t="shared" si="3"/>
        <v>2025</v>
      </c>
      <c r="E26" s="2">
        <f t="shared" si="1"/>
        <v>2033</v>
      </c>
      <c r="F26" s="2">
        <f t="shared" si="2"/>
        <v>2024</v>
      </c>
      <c r="G26" s="20"/>
    </row>
    <row r="27" spans="2:10" x14ac:dyDescent="0.2">
      <c r="B27" s="4">
        <f>IF(COUNTIF($B$3:B26, B26)=B26, B26+1, B26)</f>
        <v>7</v>
      </c>
      <c r="C27" s="2">
        <f t="shared" si="0"/>
        <v>2029</v>
      </c>
      <c r="D27" s="2">
        <f t="shared" si="3"/>
        <v>2026</v>
      </c>
      <c r="E27" s="2">
        <f t="shared" si="1"/>
        <v>2034</v>
      </c>
      <c r="F27" s="2">
        <f t="shared" si="2"/>
        <v>2024</v>
      </c>
      <c r="G27" s="20"/>
    </row>
    <row r="28" spans="2:10" x14ac:dyDescent="0.2">
      <c r="B28" s="4">
        <f>IF(COUNTIF($B$3:B27, B27)=B27, B27+1, B27)</f>
        <v>7</v>
      </c>
      <c r="C28" s="2">
        <f t="shared" si="0"/>
        <v>2029</v>
      </c>
      <c r="D28" s="2">
        <f t="shared" si="3"/>
        <v>2027</v>
      </c>
      <c r="E28" s="2">
        <f t="shared" si="1"/>
        <v>2035</v>
      </c>
      <c r="F28" s="2">
        <f t="shared" si="2"/>
        <v>2026</v>
      </c>
      <c r="G28" s="20"/>
    </row>
    <row r="29" spans="2:10" ht="17" x14ac:dyDescent="0.2">
      <c r="B29" s="4">
        <f>IF(COUNTIF($B$3:B28, B28)=B28, B28+1, B28)</f>
        <v>7</v>
      </c>
      <c r="C29" s="2">
        <f t="shared" si="0"/>
        <v>2029</v>
      </c>
      <c r="D29" s="2">
        <f t="shared" si="3"/>
        <v>2028</v>
      </c>
      <c r="E29" s="2" t="str">
        <f t="shared" si="1"/>
        <v>N/A</v>
      </c>
      <c r="F29" s="2">
        <f t="shared" si="2"/>
        <v>2028</v>
      </c>
      <c r="G29" s="20" t="s">
        <v>4</v>
      </c>
    </row>
    <row r="30" spans="2:10" ht="17" thickBot="1" x14ac:dyDescent="0.25">
      <c r="B30" s="5">
        <f>IF(COUNTIF($B$3:B29, B29)=B29, B29+1, B29)</f>
        <v>7</v>
      </c>
      <c r="C30" s="6">
        <f t="shared" si="0"/>
        <v>2029</v>
      </c>
      <c r="D30" s="6">
        <f t="shared" si="3"/>
        <v>2029</v>
      </c>
      <c r="E30" s="6" t="str">
        <f t="shared" si="1"/>
        <v>N/A</v>
      </c>
      <c r="F30" s="6">
        <f t="shared" si="2"/>
        <v>2028</v>
      </c>
      <c r="G30" s="19"/>
    </row>
    <row r="31" spans="2:10" x14ac:dyDescent="0.2">
      <c r="B31" s="14">
        <f>IF(COUNTIF($B$3:B30, B30)=B30, B30+1, B30)</f>
        <v>8</v>
      </c>
      <c r="C31" s="15">
        <f t="shared" si="0"/>
        <v>2030</v>
      </c>
      <c r="D31" s="15">
        <f t="shared" si="3"/>
        <v>2023</v>
      </c>
      <c r="E31" s="15">
        <f t="shared" si="1"/>
        <v>2031</v>
      </c>
      <c r="F31" s="15">
        <f t="shared" si="2"/>
        <v>2022</v>
      </c>
      <c r="G31" s="18"/>
    </row>
    <row r="32" spans="2:10" x14ac:dyDescent="0.2">
      <c r="B32" s="4">
        <f>IF(COUNTIF($B$3:B31, B31)=B31, B31+1, B31)</f>
        <v>8</v>
      </c>
      <c r="C32" s="2">
        <f t="shared" si="0"/>
        <v>2030</v>
      </c>
      <c r="D32" s="2">
        <f t="shared" si="3"/>
        <v>2024</v>
      </c>
      <c r="E32" s="2">
        <f t="shared" si="1"/>
        <v>2032</v>
      </c>
      <c r="F32" s="2">
        <f t="shared" si="2"/>
        <v>2022</v>
      </c>
      <c r="G32" s="20"/>
    </row>
    <row r="33" spans="2:7" x14ac:dyDescent="0.2">
      <c r="B33" s="4">
        <f>IF(COUNTIF($B$3:B32, B32)=B32, B32+1, B32)</f>
        <v>8</v>
      </c>
      <c r="C33" s="2">
        <f t="shared" si="0"/>
        <v>2030</v>
      </c>
      <c r="D33" s="2">
        <f t="shared" si="3"/>
        <v>2025</v>
      </c>
      <c r="E33" s="2">
        <f t="shared" si="1"/>
        <v>2033</v>
      </c>
      <c r="F33" s="2">
        <f t="shared" si="2"/>
        <v>2024</v>
      </c>
      <c r="G33" s="20"/>
    </row>
    <row r="34" spans="2:7" x14ac:dyDescent="0.2">
      <c r="B34" s="4">
        <f>IF(COUNTIF($B$3:B33, B33)=B33, B33+1, B33)</f>
        <v>8</v>
      </c>
      <c r="C34" s="2">
        <f t="shared" si="0"/>
        <v>2030</v>
      </c>
      <c r="D34" s="2">
        <f t="shared" si="3"/>
        <v>2026</v>
      </c>
      <c r="E34" s="2">
        <f t="shared" si="1"/>
        <v>2034</v>
      </c>
      <c r="F34" s="2">
        <f t="shared" si="2"/>
        <v>2024</v>
      </c>
      <c r="G34" s="20"/>
    </row>
    <row r="35" spans="2:7" x14ac:dyDescent="0.2">
      <c r="B35" s="4">
        <f>IF(COUNTIF($B$3:B34, B34)=B34, B34+1, B34)</f>
        <v>8</v>
      </c>
      <c r="C35" s="2">
        <f t="shared" si="0"/>
        <v>2030</v>
      </c>
      <c r="D35" s="2">
        <f t="shared" si="3"/>
        <v>2027</v>
      </c>
      <c r="E35" s="2">
        <f t="shared" si="1"/>
        <v>2035</v>
      </c>
      <c r="F35" s="2">
        <f t="shared" si="2"/>
        <v>2026</v>
      </c>
      <c r="G35" s="20"/>
    </row>
    <row r="36" spans="2:7" x14ac:dyDescent="0.2">
      <c r="B36" s="4">
        <f>IF(COUNTIF($B$3:B35, B35)=B35, B35+1, B35)</f>
        <v>8</v>
      </c>
      <c r="C36" s="2">
        <f t="shared" si="0"/>
        <v>2030</v>
      </c>
      <c r="D36" s="2">
        <f t="shared" si="3"/>
        <v>2028</v>
      </c>
      <c r="E36" s="2" t="str">
        <f t="shared" si="1"/>
        <v>N/A</v>
      </c>
      <c r="F36" s="2">
        <f t="shared" si="2"/>
        <v>2028</v>
      </c>
      <c r="G36" s="20"/>
    </row>
    <row r="37" spans="2:7" x14ac:dyDescent="0.2">
      <c r="B37" s="4">
        <f>IF(COUNTIF($B$3:B36, B36)=B36, B36+1, B36)</f>
        <v>8</v>
      </c>
      <c r="C37" s="2">
        <f t="shared" si="0"/>
        <v>2030</v>
      </c>
      <c r="D37" s="2">
        <f t="shared" si="3"/>
        <v>2029</v>
      </c>
      <c r="E37" s="2" t="str">
        <f t="shared" si="1"/>
        <v>N/A</v>
      </c>
      <c r="F37" s="2">
        <f t="shared" si="2"/>
        <v>2028</v>
      </c>
      <c r="G37" s="20"/>
    </row>
    <row r="38" spans="2:7" ht="17" thickBot="1" x14ac:dyDescent="0.25">
      <c r="B38" s="5">
        <f>IF(COUNTIF($B$3:B37, B37)=B37, B37+1, B37)</f>
        <v>8</v>
      </c>
      <c r="C38" s="6">
        <f t="shared" si="0"/>
        <v>2030</v>
      </c>
      <c r="D38" s="6">
        <f t="shared" si="3"/>
        <v>2030</v>
      </c>
      <c r="E38" s="6" t="str">
        <f t="shared" si="1"/>
        <v>N/A</v>
      </c>
      <c r="F38" s="6">
        <f t="shared" si="2"/>
        <v>2028</v>
      </c>
      <c r="G38" s="19"/>
    </row>
    <row r="39" spans="2:7" x14ac:dyDescent="0.2">
      <c r="B39" s="14">
        <f>IF(COUNTIF($B$3:B38, B38)=B38, B38+1, B38)</f>
        <v>9</v>
      </c>
      <c r="C39" s="15">
        <f t="shared" si="0"/>
        <v>2031</v>
      </c>
      <c r="D39" s="15">
        <f t="shared" si="3"/>
        <v>2023</v>
      </c>
      <c r="E39" s="15">
        <f t="shared" si="1"/>
        <v>2031</v>
      </c>
      <c r="F39" s="15">
        <f t="shared" si="2"/>
        <v>2022</v>
      </c>
      <c r="G39" s="18"/>
    </row>
    <row r="40" spans="2:7" x14ac:dyDescent="0.2">
      <c r="B40" s="4">
        <f>IF(COUNTIF($B$3:B39, B39)=B39, B39+1, B39)</f>
        <v>9</v>
      </c>
      <c r="C40" s="2">
        <f t="shared" si="0"/>
        <v>2031</v>
      </c>
      <c r="D40" s="2">
        <f t="shared" si="3"/>
        <v>2024</v>
      </c>
      <c r="E40" s="2">
        <f t="shared" si="1"/>
        <v>2032</v>
      </c>
      <c r="F40" s="2">
        <f t="shared" si="2"/>
        <v>2022</v>
      </c>
      <c r="G40" s="20"/>
    </row>
    <row r="41" spans="2:7" x14ac:dyDescent="0.2">
      <c r="B41" s="4">
        <f>IF(COUNTIF($B$3:B40, B40)=B40, B40+1, B40)</f>
        <v>9</v>
      </c>
      <c r="C41" s="2">
        <f t="shared" si="0"/>
        <v>2031</v>
      </c>
      <c r="D41" s="2">
        <f t="shared" si="3"/>
        <v>2025</v>
      </c>
      <c r="E41" s="2">
        <f t="shared" si="1"/>
        <v>2033</v>
      </c>
      <c r="F41" s="2">
        <f t="shared" si="2"/>
        <v>2024</v>
      </c>
      <c r="G41" s="20"/>
    </row>
    <row r="42" spans="2:7" x14ac:dyDescent="0.2">
      <c r="B42" s="4">
        <f>IF(COUNTIF($B$3:B41, B41)=B41, B41+1, B41)</f>
        <v>9</v>
      </c>
      <c r="C42" s="2">
        <f t="shared" si="0"/>
        <v>2031</v>
      </c>
      <c r="D42" s="2">
        <f t="shared" si="3"/>
        <v>2026</v>
      </c>
      <c r="E42" s="2">
        <f t="shared" si="1"/>
        <v>2034</v>
      </c>
      <c r="F42" s="2">
        <f t="shared" si="2"/>
        <v>2024</v>
      </c>
      <c r="G42" s="20"/>
    </row>
    <row r="43" spans="2:7" x14ac:dyDescent="0.2">
      <c r="B43" s="4">
        <f>IF(COUNTIF($B$3:B42, B42)=B42, B42+1, B42)</f>
        <v>9</v>
      </c>
      <c r="C43" s="2">
        <f t="shared" si="0"/>
        <v>2031</v>
      </c>
      <c r="D43" s="2">
        <f t="shared" si="3"/>
        <v>2027</v>
      </c>
      <c r="E43" s="2">
        <f t="shared" si="1"/>
        <v>2035</v>
      </c>
      <c r="F43" s="2">
        <f t="shared" si="2"/>
        <v>2026</v>
      </c>
      <c r="G43" s="20"/>
    </row>
    <row r="44" spans="2:7" x14ac:dyDescent="0.2">
      <c r="B44" s="4">
        <f>IF(COUNTIF($B$3:B43, B43)=B43, B43+1, B43)</f>
        <v>9</v>
      </c>
      <c r="C44" s="2">
        <f t="shared" si="0"/>
        <v>2031</v>
      </c>
      <c r="D44" s="2">
        <f t="shared" si="3"/>
        <v>2028</v>
      </c>
      <c r="E44" s="2" t="str">
        <f t="shared" si="1"/>
        <v>N/A</v>
      </c>
      <c r="F44" s="2">
        <f t="shared" si="2"/>
        <v>2030</v>
      </c>
      <c r="G44" s="20"/>
    </row>
    <row r="45" spans="2:7" x14ac:dyDescent="0.2">
      <c r="B45" s="4">
        <f>IF(COUNTIF($B$3:B44, B44)=B44, B44+1, B44)</f>
        <v>9</v>
      </c>
      <c r="C45" s="2">
        <f t="shared" si="0"/>
        <v>2031</v>
      </c>
      <c r="D45" s="2">
        <f t="shared" si="3"/>
        <v>2029</v>
      </c>
      <c r="E45" s="2" t="str">
        <f t="shared" si="1"/>
        <v>N/A</v>
      </c>
      <c r="F45" s="2">
        <f t="shared" si="2"/>
        <v>2030</v>
      </c>
      <c r="G45" s="20"/>
    </row>
    <row r="46" spans="2:7" x14ac:dyDescent="0.2">
      <c r="B46" s="4">
        <f>IF(COUNTIF($B$3:B45, B45)=B45, B45+1, B45)</f>
        <v>9</v>
      </c>
      <c r="C46" s="2">
        <f t="shared" si="0"/>
        <v>2031</v>
      </c>
      <c r="D46" s="2">
        <f t="shared" si="3"/>
        <v>2030</v>
      </c>
      <c r="E46" s="2" t="str">
        <f t="shared" si="1"/>
        <v>N/A</v>
      </c>
      <c r="F46" s="2">
        <f t="shared" si="2"/>
        <v>2030</v>
      </c>
      <c r="G46" s="20"/>
    </row>
    <row r="47" spans="2:7" ht="17" thickBot="1" x14ac:dyDescent="0.25">
      <c r="B47" s="5">
        <f>IF(COUNTIF($B$3:B46, B46)=B46, B46+1, B46)</f>
        <v>9</v>
      </c>
      <c r="C47" s="6">
        <f t="shared" si="0"/>
        <v>2031</v>
      </c>
      <c r="D47" s="6">
        <f t="shared" si="3"/>
        <v>2031</v>
      </c>
      <c r="E47" s="6" t="str">
        <f t="shared" si="1"/>
        <v>N/A</v>
      </c>
      <c r="F47" s="6">
        <f t="shared" si="2"/>
        <v>2030</v>
      </c>
      <c r="G47" s="19"/>
    </row>
    <row r="48" spans="2:7" ht="17" x14ac:dyDescent="0.2">
      <c r="B48" s="14">
        <f>IF(COUNTIF($B$3:B47, B47)=B47, B47+1, B47)</f>
        <v>10</v>
      </c>
      <c r="C48" s="15">
        <f t="shared" si="0"/>
        <v>2032</v>
      </c>
      <c r="D48" s="15">
        <f t="shared" si="3"/>
        <v>2023</v>
      </c>
      <c r="E48" s="15">
        <f t="shared" si="1"/>
        <v>2031</v>
      </c>
      <c r="F48" s="15">
        <f t="shared" si="2"/>
        <v>2030</v>
      </c>
      <c r="G48" s="18" t="s">
        <v>8</v>
      </c>
    </row>
    <row r="49" spans="2:7" x14ac:dyDescent="0.2">
      <c r="B49" s="4">
        <f>IF(COUNTIF($B$3:B48, B48)=B48, B48+1, B48)</f>
        <v>10</v>
      </c>
      <c r="C49" s="2">
        <f t="shared" si="0"/>
        <v>2032</v>
      </c>
      <c r="D49" s="2">
        <f t="shared" si="3"/>
        <v>2024</v>
      </c>
      <c r="E49" s="2">
        <f t="shared" si="1"/>
        <v>2032</v>
      </c>
      <c r="F49" s="2">
        <f t="shared" si="2"/>
        <v>2022</v>
      </c>
      <c r="G49" s="20"/>
    </row>
    <row r="50" spans="2:7" x14ac:dyDescent="0.2">
      <c r="B50" s="4">
        <f>IF(COUNTIF($B$3:B49, B49)=B49, B49+1, B49)</f>
        <v>10</v>
      </c>
      <c r="C50" s="2">
        <f t="shared" si="0"/>
        <v>2032</v>
      </c>
      <c r="D50" s="2">
        <f t="shared" si="3"/>
        <v>2025</v>
      </c>
      <c r="E50" s="2">
        <f t="shared" si="1"/>
        <v>2033</v>
      </c>
      <c r="F50" s="2">
        <f t="shared" si="2"/>
        <v>2024</v>
      </c>
      <c r="G50" s="20"/>
    </row>
    <row r="51" spans="2:7" x14ac:dyDescent="0.2">
      <c r="B51" s="4">
        <f>IF(COUNTIF($B$3:B50, B50)=B50, B50+1, B50)</f>
        <v>10</v>
      </c>
      <c r="C51" s="2">
        <f t="shared" si="0"/>
        <v>2032</v>
      </c>
      <c r="D51" s="2">
        <f t="shared" si="3"/>
        <v>2026</v>
      </c>
      <c r="E51" s="2">
        <f t="shared" si="1"/>
        <v>2034</v>
      </c>
      <c r="F51" s="2">
        <f t="shared" si="2"/>
        <v>2024</v>
      </c>
      <c r="G51" s="20"/>
    </row>
    <row r="52" spans="2:7" x14ac:dyDescent="0.2">
      <c r="B52" s="4">
        <f>IF(COUNTIF($B$3:B51, B51)=B51, B51+1, B51)</f>
        <v>10</v>
      </c>
      <c r="C52" s="2">
        <f t="shared" si="0"/>
        <v>2032</v>
      </c>
      <c r="D52" s="2">
        <f t="shared" si="3"/>
        <v>2027</v>
      </c>
      <c r="E52" s="2">
        <f t="shared" si="1"/>
        <v>2035</v>
      </c>
      <c r="F52" s="2">
        <f t="shared" si="2"/>
        <v>2026</v>
      </c>
      <c r="G52" s="20"/>
    </row>
    <row r="53" spans="2:7" x14ac:dyDescent="0.2">
      <c r="B53" s="4">
        <f>IF(COUNTIF($B$3:B52, B52)=B52, B52+1, B52)</f>
        <v>10</v>
      </c>
      <c r="C53" s="2">
        <f t="shared" si="0"/>
        <v>2032</v>
      </c>
      <c r="D53" s="2">
        <f t="shared" si="3"/>
        <v>2028</v>
      </c>
      <c r="E53" s="2" t="str">
        <f t="shared" si="1"/>
        <v>N/A</v>
      </c>
      <c r="F53" s="2">
        <f t="shared" si="2"/>
        <v>2030</v>
      </c>
      <c r="G53" s="20"/>
    </row>
    <row r="54" spans="2:7" x14ac:dyDescent="0.2">
      <c r="B54" s="4">
        <f>IF(COUNTIF($B$3:B53, B53)=B53, B53+1, B53)</f>
        <v>10</v>
      </c>
      <c r="C54" s="2">
        <f t="shared" si="0"/>
        <v>2032</v>
      </c>
      <c r="D54" s="2">
        <f t="shared" si="3"/>
        <v>2029</v>
      </c>
      <c r="E54" s="2" t="str">
        <f t="shared" si="1"/>
        <v>N/A</v>
      </c>
      <c r="F54" s="2">
        <f t="shared" si="2"/>
        <v>2030</v>
      </c>
      <c r="G54" s="20"/>
    </row>
    <row r="55" spans="2:7" x14ac:dyDescent="0.2">
      <c r="B55" s="4">
        <f>IF(COUNTIF($B$3:B54, B54)=B54, B54+1, B54)</f>
        <v>10</v>
      </c>
      <c r="C55" s="2">
        <f t="shared" si="0"/>
        <v>2032</v>
      </c>
      <c r="D55" s="2">
        <f t="shared" si="3"/>
        <v>2030</v>
      </c>
      <c r="E55" s="2" t="str">
        <f t="shared" si="1"/>
        <v>N/A</v>
      </c>
      <c r="F55" s="2">
        <f t="shared" si="2"/>
        <v>2030</v>
      </c>
      <c r="G55" s="20"/>
    </row>
    <row r="56" spans="2:7" x14ac:dyDescent="0.2">
      <c r="B56" s="4">
        <f>IF(COUNTIF($B$3:B55, B55)=B55, B55+1, B55)</f>
        <v>10</v>
      </c>
      <c r="C56" s="2">
        <f t="shared" si="0"/>
        <v>2032</v>
      </c>
      <c r="D56" s="2">
        <f t="shared" si="3"/>
        <v>2031</v>
      </c>
      <c r="E56" s="2" t="str">
        <f t="shared" si="1"/>
        <v>N/A</v>
      </c>
      <c r="F56" s="2">
        <f t="shared" si="2"/>
        <v>2030</v>
      </c>
      <c r="G56" s="20"/>
    </row>
    <row r="57" spans="2:7" ht="17" thickBot="1" x14ac:dyDescent="0.25">
      <c r="B57" s="5">
        <f>IF(COUNTIF($B$3:B56, B56)=B56, B56+1, B56)</f>
        <v>10</v>
      </c>
      <c r="C57" s="6">
        <f t="shared" si="0"/>
        <v>2032</v>
      </c>
      <c r="D57" s="6">
        <f t="shared" si="3"/>
        <v>2032</v>
      </c>
      <c r="E57" s="6" t="str">
        <f t="shared" si="1"/>
        <v>N/A</v>
      </c>
      <c r="F57" s="6">
        <f t="shared" si="2"/>
        <v>2030</v>
      </c>
      <c r="G57" s="19"/>
    </row>
    <row r="58" spans="2:7" x14ac:dyDescent="0.2">
      <c r="B58" s="14">
        <f>IF(COUNTIF($B$3:B57, B57)=B57, B57+1, B57)</f>
        <v>11</v>
      </c>
      <c r="C58" s="15">
        <f t="shared" si="0"/>
        <v>2033</v>
      </c>
      <c r="D58" s="15">
        <f t="shared" ref="D58:D93" si="4">IF(D57=C57, 2023, D57+1)</f>
        <v>2023</v>
      </c>
      <c r="E58" s="15">
        <f t="shared" si="1"/>
        <v>2031</v>
      </c>
      <c r="F58" s="15">
        <f t="shared" ref="F58:F93" si="5">IF(OR(D58&gt;=2028, C58 &gt; E58),FLOOR(C58-1,2),FLOOR(D58-1,2))</f>
        <v>2032</v>
      </c>
      <c r="G58" s="18"/>
    </row>
    <row r="59" spans="2:7" x14ac:dyDescent="0.2">
      <c r="B59" s="4">
        <f>IF(COUNTIF($B$3:B58, B58)=B58, B58+1, B58)</f>
        <v>11</v>
      </c>
      <c r="C59" s="2">
        <f t="shared" si="0"/>
        <v>2033</v>
      </c>
      <c r="D59" s="2">
        <f t="shared" si="4"/>
        <v>2024</v>
      </c>
      <c r="E59" s="2">
        <f t="shared" si="1"/>
        <v>2032</v>
      </c>
      <c r="F59" s="2">
        <f t="shared" si="5"/>
        <v>2032</v>
      </c>
      <c r="G59" s="20"/>
    </row>
    <row r="60" spans="2:7" x14ac:dyDescent="0.2">
      <c r="B60" s="4">
        <f>IF(COUNTIF($B$3:B59, B59)=B59, B59+1, B59)</f>
        <v>11</v>
      </c>
      <c r="C60" s="2">
        <f t="shared" si="0"/>
        <v>2033</v>
      </c>
      <c r="D60" s="2">
        <f t="shared" si="4"/>
        <v>2025</v>
      </c>
      <c r="E60" s="2">
        <f t="shared" si="1"/>
        <v>2033</v>
      </c>
      <c r="F60" s="2">
        <f t="shared" si="5"/>
        <v>2024</v>
      </c>
      <c r="G60" s="20"/>
    </row>
    <row r="61" spans="2:7" x14ac:dyDescent="0.2">
      <c r="B61" s="4">
        <f>IF(COUNTIF($B$3:B60, B60)=B60, B60+1, B60)</f>
        <v>11</v>
      </c>
      <c r="C61" s="2">
        <f t="shared" si="0"/>
        <v>2033</v>
      </c>
      <c r="D61" s="2">
        <f t="shared" si="4"/>
        <v>2026</v>
      </c>
      <c r="E61" s="2">
        <f t="shared" si="1"/>
        <v>2034</v>
      </c>
      <c r="F61" s="2">
        <f t="shared" si="5"/>
        <v>2024</v>
      </c>
      <c r="G61" s="20"/>
    </row>
    <row r="62" spans="2:7" x14ac:dyDescent="0.2">
      <c r="B62" s="4">
        <f>IF(COUNTIF($B$3:B61, B61)=B61, B61+1, B61)</f>
        <v>11</v>
      </c>
      <c r="C62" s="2">
        <f t="shared" si="0"/>
        <v>2033</v>
      </c>
      <c r="D62" s="2">
        <f t="shared" si="4"/>
        <v>2027</v>
      </c>
      <c r="E62" s="2">
        <f t="shared" si="1"/>
        <v>2035</v>
      </c>
      <c r="F62" s="2">
        <f t="shared" si="5"/>
        <v>2026</v>
      </c>
      <c r="G62" s="20"/>
    </row>
    <row r="63" spans="2:7" x14ac:dyDescent="0.2">
      <c r="B63" s="4">
        <f>IF(COUNTIF($B$3:B62, B62)=B62, B62+1, B62)</f>
        <v>11</v>
      </c>
      <c r="C63" s="2">
        <f t="shared" si="0"/>
        <v>2033</v>
      </c>
      <c r="D63" s="2">
        <f t="shared" si="4"/>
        <v>2028</v>
      </c>
      <c r="E63" s="2" t="str">
        <f t="shared" si="1"/>
        <v>N/A</v>
      </c>
      <c r="F63" s="2">
        <f t="shared" si="5"/>
        <v>2032</v>
      </c>
      <c r="G63" s="20"/>
    </row>
    <row r="64" spans="2:7" x14ac:dyDescent="0.2">
      <c r="B64" s="4">
        <f>IF(COUNTIF($B$3:B63, B63)=B63, B63+1, B63)</f>
        <v>11</v>
      </c>
      <c r="C64" s="2">
        <f t="shared" si="0"/>
        <v>2033</v>
      </c>
      <c r="D64" s="2">
        <f t="shared" si="4"/>
        <v>2029</v>
      </c>
      <c r="E64" s="2" t="str">
        <f t="shared" si="1"/>
        <v>N/A</v>
      </c>
      <c r="F64" s="2">
        <f t="shared" si="5"/>
        <v>2032</v>
      </c>
      <c r="G64" s="20"/>
    </row>
    <row r="65" spans="2:7" x14ac:dyDescent="0.2">
      <c r="B65" s="4">
        <f>IF(COUNTIF($B$3:B64, B64)=B64, B64+1, B64)</f>
        <v>11</v>
      </c>
      <c r="C65" s="2">
        <f t="shared" si="0"/>
        <v>2033</v>
      </c>
      <c r="D65" s="2">
        <f t="shared" si="4"/>
        <v>2030</v>
      </c>
      <c r="E65" s="2" t="str">
        <f t="shared" si="1"/>
        <v>N/A</v>
      </c>
      <c r="F65" s="2">
        <f t="shared" si="5"/>
        <v>2032</v>
      </c>
      <c r="G65" s="20"/>
    </row>
    <row r="66" spans="2:7" x14ac:dyDescent="0.2">
      <c r="B66" s="4">
        <f>IF(COUNTIF($B$3:B65, B65)=B65, B65+1, B65)</f>
        <v>11</v>
      </c>
      <c r="C66" s="2">
        <f t="shared" si="0"/>
        <v>2033</v>
      </c>
      <c r="D66" s="2">
        <f t="shared" si="4"/>
        <v>2031</v>
      </c>
      <c r="E66" s="2" t="str">
        <f t="shared" si="1"/>
        <v>N/A</v>
      </c>
      <c r="F66" s="2">
        <f t="shared" si="5"/>
        <v>2032</v>
      </c>
      <c r="G66" s="20"/>
    </row>
    <row r="67" spans="2:7" x14ac:dyDescent="0.2">
      <c r="B67" s="4">
        <f>IF(COUNTIF($B$3:B66, B66)=B66, B66+1, B66)</f>
        <v>11</v>
      </c>
      <c r="C67" s="2">
        <f t="shared" si="0"/>
        <v>2033</v>
      </c>
      <c r="D67" s="2">
        <f t="shared" si="4"/>
        <v>2032</v>
      </c>
      <c r="E67" s="2" t="str">
        <f t="shared" si="1"/>
        <v>N/A</v>
      </c>
      <c r="F67" s="2">
        <f t="shared" si="5"/>
        <v>2032</v>
      </c>
      <c r="G67" s="20"/>
    </row>
    <row r="68" spans="2:7" ht="17" thickBot="1" x14ac:dyDescent="0.25">
      <c r="B68" s="5">
        <f>IF(COUNTIF($B$3:B67, B67)=B67, B67+1, B67)</f>
        <v>11</v>
      </c>
      <c r="C68" s="6">
        <f t="shared" ref="C68:C122" si="6">2022+B68</f>
        <v>2033</v>
      </c>
      <c r="D68" s="6">
        <f t="shared" si="4"/>
        <v>2033</v>
      </c>
      <c r="E68" s="6" t="str">
        <f t="shared" ref="E68:E122" si="7">IF(D68 &lt;= 2027, D68+8, "N/A")</f>
        <v>N/A</v>
      </c>
      <c r="F68" s="6">
        <f t="shared" si="5"/>
        <v>2032</v>
      </c>
      <c r="G68" s="19"/>
    </row>
    <row r="69" spans="2:7" x14ac:dyDescent="0.2">
      <c r="B69" s="14">
        <f>IF(COUNTIF($B$3:B68, B68)=B68, B68+1, B68)</f>
        <v>12</v>
      </c>
      <c r="C69" s="15">
        <f t="shared" si="6"/>
        <v>2034</v>
      </c>
      <c r="D69" s="15">
        <f t="shared" si="4"/>
        <v>2023</v>
      </c>
      <c r="E69" s="15">
        <f t="shared" si="7"/>
        <v>2031</v>
      </c>
      <c r="F69" s="15">
        <f t="shared" si="5"/>
        <v>2032</v>
      </c>
      <c r="G69" s="18"/>
    </row>
    <row r="70" spans="2:7" x14ac:dyDescent="0.2">
      <c r="B70" s="4">
        <f>IF(COUNTIF($B$3:B69, B69)=B69, B69+1, B69)</f>
        <v>12</v>
      </c>
      <c r="C70" s="2">
        <f t="shared" si="6"/>
        <v>2034</v>
      </c>
      <c r="D70" s="2">
        <f t="shared" si="4"/>
        <v>2024</v>
      </c>
      <c r="E70" s="2">
        <f t="shared" si="7"/>
        <v>2032</v>
      </c>
      <c r="F70" s="2">
        <f t="shared" si="5"/>
        <v>2032</v>
      </c>
      <c r="G70" s="20"/>
    </row>
    <row r="71" spans="2:7" x14ac:dyDescent="0.2">
      <c r="B71" s="4">
        <f>IF(COUNTIF($B$3:B70, B70)=B70, B70+1, B70)</f>
        <v>12</v>
      </c>
      <c r="C71" s="2">
        <f t="shared" si="6"/>
        <v>2034</v>
      </c>
      <c r="D71" s="2">
        <f t="shared" si="4"/>
        <v>2025</v>
      </c>
      <c r="E71" s="2">
        <f t="shared" si="7"/>
        <v>2033</v>
      </c>
      <c r="F71" s="2">
        <f t="shared" si="5"/>
        <v>2032</v>
      </c>
      <c r="G71" s="20"/>
    </row>
    <row r="72" spans="2:7" x14ac:dyDescent="0.2">
      <c r="B72" s="4">
        <f>IF(COUNTIF($B$3:B71, B71)=B71, B71+1, B71)</f>
        <v>12</v>
      </c>
      <c r="C72" s="2">
        <f t="shared" si="6"/>
        <v>2034</v>
      </c>
      <c r="D72" s="2">
        <f t="shared" si="4"/>
        <v>2026</v>
      </c>
      <c r="E72" s="2">
        <f t="shared" si="7"/>
        <v>2034</v>
      </c>
      <c r="F72" s="2">
        <f t="shared" si="5"/>
        <v>2024</v>
      </c>
      <c r="G72" s="20"/>
    </row>
    <row r="73" spans="2:7" x14ac:dyDescent="0.2">
      <c r="B73" s="4">
        <f>IF(COUNTIF($B$3:B72, B72)=B72, B72+1, B72)</f>
        <v>12</v>
      </c>
      <c r="C73" s="2">
        <f t="shared" si="6"/>
        <v>2034</v>
      </c>
      <c r="D73" s="2">
        <f t="shared" si="4"/>
        <v>2027</v>
      </c>
      <c r="E73" s="2">
        <f t="shared" si="7"/>
        <v>2035</v>
      </c>
      <c r="F73" s="2">
        <f t="shared" si="5"/>
        <v>2026</v>
      </c>
      <c r="G73" s="20"/>
    </row>
    <row r="74" spans="2:7" x14ac:dyDescent="0.2">
      <c r="B74" s="4">
        <f>IF(COUNTIF($B$3:B73, B73)=B73, B73+1, B73)</f>
        <v>12</v>
      </c>
      <c r="C74" s="2">
        <f t="shared" si="6"/>
        <v>2034</v>
      </c>
      <c r="D74" s="2">
        <f t="shared" si="4"/>
        <v>2028</v>
      </c>
      <c r="E74" s="2" t="str">
        <f t="shared" si="7"/>
        <v>N/A</v>
      </c>
      <c r="F74" s="2">
        <f t="shared" si="5"/>
        <v>2032</v>
      </c>
      <c r="G74" s="20"/>
    </row>
    <row r="75" spans="2:7" x14ac:dyDescent="0.2">
      <c r="B75" s="4">
        <f>IF(COUNTIF($B$3:B74, B74)=B74, B74+1, B74)</f>
        <v>12</v>
      </c>
      <c r="C75" s="2">
        <f t="shared" si="6"/>
        <v>2034</v>
      </c>
      <c r="D75" s="2">
        <f t="shared" si="4"/>
        <v>2029</v>
      </c>
      <c r="E75" s="2" t="str">
        <f t="shared" si="7"/>
        <v>N/A</v>
      </c>
      <c r="F75" s="2">
        <f t="shared" si="5"/>
        <v>2032</v>
      </c>
      <c r="G75" s="20"/>
    </row>
    <row r="76" spans="2:7" x14ac:dyDescent="0.2">
      <c r="B76" s="4">
        <f>IF(COUNTIF($B$3:B75, B75)=B75, B75+1, B75)</f>
        <v>12</v>
      </c>
      <c r="C76" s="2">
        <f t="shared" si="6"/>
        <v>2034</v>
      </c>
      <c r="D76" s="2">
        <f t="shared" si="4"/>
        <v>2030</v>
      </c>
      <c r="E76" s="2" t="str">
        <f t="shared" si="7"/>
        <v>N/A</v>
      </c>
      <c r="F76" s="2">
        <f t="shared" si="5"/>
        <v>2032</v>
      </c>
      <c r="G76" s="20"/>
    </row>
    <row r="77" spans="2:7" x14ac:dyDescent="0.2">
      <c r="B77" s="4">
        <f>IF(COUNTIF($B$3:B76, B76)=B76, B76+1, B76)</f>
        <v>12</v>
      </c>
      <c r="C77" s="2">
        <f t="shared" si="6"/>
        <v>2034</v>
      </c>
      <c r="D77" s="2">
        <f t="shared" si="4"/>
        <v>2031</v>
      </c>
      <c r="E77" s="2" t="str">
        <f t="shared" si="7"/>
        <v>N/A</v>
      </c>
      <c r="F77" s="2">
        <f t="shared" si="5"/>
        <v>2032</v>
      </c>
      <c r="G77" s="20"/>
    </row>
    <row r="78" spans="2:7" x14ac:dyDescent="0.2">
      <c r="B78" s="4">
        <f>IF(COUNTIF($B$3:B77, B77)=B77, B77+1, B77)</f>
        <v>12</v>
      </c>
      <c r="C78" s="2">
        <f t="shared" si="6"/>
        <v>2034</v>
      </c>
      <c r="D78" s="2">
        <f t="shared" si="4"/>
        <v>2032</v>
      </c>
      <c r="E78" s="2" t="str">
        <f t="shared" si="7"/>
        <v>N/A</v>
      </c>
      <c r="F78" s="2">
        <f t="shared" si="5"/>
        <v>2032</v>
      </c>
      <c r="G78" s="20"/>
    </row>
    <row r="79" spans="2:7" x14ac:dyDescent="0.2">
      <c r="B79" s="4">
        <f>IF(COUNTIF($B$3:B78, B78)=B78, B78+1, B78)</f>
        <v>12</v>
      </c>
      <c r="C79" s="2">
        <f t="shared" si="6"/>
        <v>2034</v>
      </c>
      <c r="D79" s="2">
        <f t="shared" si="4"/>
        <v>2033</v>
      </c>
      <c r="E79" s="2" t="str">
        <f t="shared" si="7"/>
        <v>N/A</v>
      </c>
      <c r="F79" s="2">
        <f t="shared" si="5"/>
        <v>2032</v>
      </c>
      <c r="G79" s="20"/>
    </row>
    <row r="80" spans="2:7" ht="17" thickBot="1" x14ac:dyDescent="0.25">
      <c r="B80" s="5">
        <f>IF(COUNTIF($B$3:B79, B79)=B79, B79+1, B79)</f>
        <v>12</v>
      </c>
      <c r="C80" s="6">
        <f t="shared" si="6"/>
        <v>2034</v>
      </c>
      <c r="D80" s="6">
        <f t="shared" si="4"/>
        <v>2034</v>
      </c>
      <c r="E80" s="6" t="str">
        <f t="shared" si="7"/>
        <v>N/A</v>
      </c>
      <c r="F80" s="6">
        <f t="shared" si="5"/>
        <v>2032</v>
      </c>
      <c r="G80" s="19"/>
    </row>
    <row r="81" spans="2:7" x14ac:dyDescent="0.2">
      <c r="B81" s="14">
        <f>IF(COUNTIF($B$3:B80, B80)=B80, B80+1, B80)</f>
        <v>13</v>
      </c>
      <c r="C81" s="15">
        <f t="shared" si="6"/>
        <v>2035</v>
      </c>
      <c r="D81" s="15">
        <f t="shared" si="4"/>
        <v>2023</v>
      </c>
      <c r="E81" s="15">
        <f t="shared" si="7"/>
        <v>2031</v>
      </c>
      <c r="F81" s="15">
        <f t="shared" si="5"/>
        <v>2034</v>
      </c>
      <c r="G81" s="18"/>
    </row>
    <row r="82" spans="2:7" x14ac:dyDescent="0.2">
      <c r="B82" s="4">
        <f>IF(COUNTIF($B$3:B81, B81)=B81, B81+1, B81)</f>
        <v>13</v>
      </c>
      <c r="C82" s="2">
        <f t="shared" si="6"/>
        <v>2035</v>
      </c>
      <c r="D82" s="2">
        <f t="shared" si="4"/>
        <v>2024</v>
      </c>
      <c r="E82" s="2">
        <f t="shared" si="7"/>
        <v>2032</v>
      </c>
      <c r="F82" s="2">
        <f t="shared" si="5"/>
        <v>2034</v>
      </c>
      <c r="G82" s="20"/>
    </row>
    <row r="83" spans="2:7" x14ac:dyDescent="0.2">
      <c r="B83" s="4">
        <f>IF(COUNTIF($B$3:B82, B82)=B82, B82+1, B82)</f>
        <v>13</v>
      </c>
      <c r="C83" s="2">
        <f t="shared" si="6"/>
        <v>2035</v>
      </c>
      <c r="D83" s="2">
        <f t="shared" si="4"/>
        <v>2025</v>
      </c>
      <c r="E83" s="2">
        <f t="shared" si="7"/>
        <v>2033</v>
      </c>
      <c r="F83" s="2">
        <f t="shared" si="5"/>
        <v>2034</v>
      </c>
      <c r="G83" s="20"/>
    </row>
    <row r="84" spans="2:7" x14ac:dyDescent="0.2">
      <c r="B84" s="4">
        <f>IF(COUNTIF($B$3:B83, B83)=B83, B83+1, B83)</f>
        <v>13</v>
      </c>
      <c r="C84" s="2">
        <f t="shared" si="6"/>
        <v>2035</v>
      </c>
      <c r="D84" s="2">
        <f t="shared" si="4"/>
        <v>2026</v>
      </c>
      <c r="E84" s="2">
        <f t="shared" si="7"/>
        <v>2034</v>
      </c>
      <c r="F84" s="2">
        <f t="shared" si="5"/>
        <v>2034</v>
      </c>
      <c r="G84" s="20"/>
    </row>
    <row r="85" spans="2:7" x14ac:dyDescent="0.2">
      <c r="B85" s="4">
        <f>IF(COUNTIF($B$3:B84, B84)=B84, B84+1, B84)</f>
        <v>13</v>
      </c>
      <c r="C85" s="2">
        <f t="shared" si="6"/>
        <v>2035</v>
      </c>
      <c r="D85" s="2">
        <f t="shared" si="4"/>
        <v>2027</v>
      </c>
      <c r="E85" s="2">
        <f t="shared" si="7"/>
        <v>2035</v>
      </c>
      <c r="F85" s="2">
        <f t="shared" si="5"/>
        <v>2026</v>
      </c>
      <c r="G85" s="20"/>
    </row>
    <row r="86" spans="2:7" x14ac:dyDescent="0.2">
      <c r="B86" s="4">
        <f>IF(COUNTIF($B$3:B85, B85)=B85, B85+1, B85)</f>
        <v>13</v>
      </c>
      <c r="C86" s="2">
        <f t="shared" si="6"/>
        <v>2035</v>
      </c>
      <c r="D86" s="2">
        <f t="shared" si="4"/>
        <v>2028</v>
      </c>
      <c r="E86" s="2" t="str">
        <f t="shared" si="7"/>
        <v>N/A</v>
      </c>
      <c r="F86" s="2">
        <f t="shared" si="5"/>
        <v>2034</v>
      </c>
      <c r="G86" s="20"/>
    </row>
    <row r="87" spans="2:7" x14ac:dyDescent="0.2">
      <c r="B87" s="4">
        <f>IF(COUNTIF($B$3:B86, B86)=B86, B86+1, B86)</f>
        <v>13</v>
      </c>
      <c r="C87" s="2">
        <f t="shared" si="6"/>
        <v>2035</v>
      </c>
      <c r="D87" s="2">
        <f t="shared" si="4"/>
        <v>2029</v>
      </c>
      <c r="E87" s="2" t="str">
        <f t="shared" si="7"/>
        <v>N/A</v>
      </c>
      <c r="F87" s="2">
        <f t="shared" si="5"/>
        <v>2034</v>
      </c>
      <c r="G87" s="20"/>
    </row>
    <row r="88" spans="2:7" x14ac:dyDescent="0.2">
      <c r="B88" s="4">
        <f>IF(COUNTIF($B$3:B87, B87)=B87, B87+1, B87)</f>
        <v>13</v>
      </c>
      <c r="C88" s="2">
        <f t="shared" si="6"/>
        <v>2035</v>
      </c>
      <c r="D88" s="2">
        <f t="shared" si="4"/>
        <v>2030</v>
      </c>
      <c r="E88" s="2" t="str">
        <f t="shared" si="7"/>
        <v>N/A</v>
      </c>
      <c r="F88" s="2">
        <f t="shared" si="5"/>
        <v>2034</v>
      </c>
      <c r="G88" s="20"/>
    </row>
    <row r="89" spans="2:7" x14ac:dyDescent="0.2">
      <c r="B89" s="4">
        <f>IF(COUNTIF($B$3:B88, B88)=B88, B88+1, B88)</f>
        <v>13</v>
      </c>
      <c r="C89" s="2">
        <f t="shared" si="6"/>
        <v>2035</v>
      </c>
      <c r="D89" s="2">
        <f t="shared" si="4"/>
        <v>2031</v>
      </c>
      <c r="E89" s="2" t="str">
        <f t="shared" si="7"/>
        <v>N/A</v>
      </c>
      <c r="F89" s="2">
        <f t="shared" si="5"/>
        <v>2034</v>
      </c>
      <c r="G89" s="20"/>
    </row>
    <row r="90" spans="2:7" x14ac:dyDescent="0.2">
      <c r="B90" s="4">
        <f>IF(COUNTIF($B$3:B89, B89)=B89, B89+1, B89)</f>
        <v>13</v>
      </c>
      <c r="C90" s="2">
        <f t="shared" si="6"/>
        <v>2035</v>
      </c>
      <c r="D90" s="2">
        <f t="shared" si="4"/>
        <v>2032</v>
      </c>
      <c r="E90" s="2" t="str">
        <f t="shared" si="7"/>
        <v>N/A</v>
      </c>
      <c r="F90" s="2">
        <f t="shared" si="5"/>
        <v>2034</v>
      </c>
      <c r="G90" s="20"/>
    </row>
    <row r="91" spans="2:7" x14ac:dyDescent="0.2">
      <c r="B91" s="4">
        <f>IF(COUNTIF($B$3:B90, B90)=B90, B90+1, B90)</f>
        <v>13</v>
      </c>
      <c r="C91" s="2">
        <f t="shared" si="6"/>
        <v>2035</v>
      </c>
      <c r="D91" s="2">
        <f t="shared" si="4"/>
        <v>2033</v>
      </c>
      <c r="E91" s="2" t="str">
        <f t="shared" si="7"/>
        <v>N/A</v>
      </c>
      <c r="F91" s="2">
        <f t="shared" si="5"/>
        <v>2034</v>
      </c>
      <c r="G91" s="20"/>
    </row>
    <row r="92" spans="2:7" x14ac:dyDescent="0.2">
      <c r="B92" s="4">
        <f>IF(COUNTIF($B$3:B91, B91)=B91, B91+1, B91)</f>
        <v>13</v>
      </c>
      <c r="C92" s="2">
        <f t="shared" si="6"/>
        <v>2035</v>
      </c>
      <c r="D92" s="2">
        <f t="shared" si="4"/>
        <v>2034</v>
      </c>
      <c r="E92" s="2" t="str">
        <f t="shared" si="7"/>
        <v>N/A</v>
      </c>
      <c r="F92" s="2">
        <f t="shared" si="5"/>
        <v>2034</v>
      </c>
      <c r="G92" s="20"/>
    </row>
    <row r="93" spans="2:7" ht="17" thickBot="1" x14ac:dyDescent="0.25">
      <c r="B93" s="5">
        <f>IF(COUNTIF($B$3:B92, B92)=B92, B92+1, B92)</f>
        <v>13</v>
      </c>
      <c r="C93" s="6">
        <f t="shared" si="6"/>
        <v>2035</v>
      </c>
      <c r="D93" s="6">
        <f t="shared" si="4"/>
        <v>2035</v>
      </c>
      <c r="E93" s="6" t="str">
        <f t="shared" si="7"/>
        <v>N/A</v>
      </c>
      <c r="F93" s="6">
        <f t="shared" si="5"/>
        <v>2034</v>
      </c>
      <c r="G93" s="19"/>
    </row>
    <row r="94" spans="2:7" x14ac:dyDescent="0.2">
      <c r="B94" s="14">
        <f>IF(COUNTIF($B$3:B93, B93)=B93, B93+1, B93)</f>
        <v>14</v>
      </c>
      <c r="C94" s="15">
        <f t="shared" si="6"/>
        <v>2036</v>
      </c>
      <c r="D94" s="15">
        <f t="shared" ref="D94:D122" si="8">IF(D93=C93, 2023, D93+1)</f>
        <v>2023</v>
      </c>
      <c r="E94" s="15">
        <f t="shared" si="7"/>
        <v>2031</v>
      </c>
      <c r="F94" s="15">
        <f t="shared" ref="F94:F122" si="9">IF(OR(D94&gt;=2028, C94 &gt; E94),FLOOR(C94-1,2),FLOOR(D94-1,2))</f>
        <v>2034</v>
      </c>
      <c r="G94" s="18"/>
    </row>
    <row r="95" spans="2:7" x14ac:dyDescent="0.2">
      <c r="B95" s="4">
        <f>IF(COUNTIF($B$3:B94, B94)=B94, B94+1, B94)</f>
        <v>14</v>
      </c>
      <c r="C95" s="2">
        <f t="shared" si="6"/>
        <v>2036</v>
      </c>
      <c r="D95" s="2">
        <f t="shared" si="8"/>
        <v>2024</v>
      </c>
      <c r="E95" s="2">
        <f t="shared" si="7"/>
        <v>2032</v>
      </c>
      <c r="F95" s="2">
        <f t="shared" si="9"/>
        <v>2034</v>
      </c>
      <c r="G95" s="20"/>
    </row>
    <row r="96" spans="2:7" x14ac:dyDescent="0.2">
      <c r="B96" s="4">
        <f>IF(COUNTIF($B$3:B95, B95)=B95, B95+1, B95)</f>
        <v>14</v>
      </c>
      <c r="C96" s="2">
        <f t="shared" si="6"/>
        <v>2036</v>
      </c>
      <c r="D96" s="2">
        <f t="shared" si="8"/>
        <v>2025</v>
      </c>
      <c r="E96" s="2">
        <f t="shared" si="7"/>
        <v>2033</v>
      </c>
      <c r="F96" s="2">
        <f t="shared" si="9"/>
        <v>2034</v>
      </c>
      <c r="G96" s="20"/>
    </row>
    <row r="97" spans="2:7" x14ac:dyDescent="0.2">
      <c r="B97" s="4">
        <f>IF(COUNTIF($B$3:B96, B96)=B96, B96+1, B96)</f>
        <v>14</v>
      </c>
      <c r="C97" s="2">
        <f t="shared" si="6"/>
        <v>2036</v>
      </c>
      <c r="D97" s="2">
        <f t="shared" si="8"/>
        <v>2026</v>
      </c>
      <c r="E97" s="2">
        <f t="shared" si="7"/>
        <v>2034</v>
      </c>
      <c r="F97" s="2">
        <f t="shared" si="9"/>
        <v>2034</v>
      </c>
      <c r="G97" s="20"/>
    </row>
    <row r="98" spans="2:7" x14ac:dyDescent="0.2">
      <c r="B98" s="4">
        <f>IF(COUNTIF($B$3:B97, B97)=B97, B97+1, B97)</f>
        <v>14</v>
      </c>
      <c r="C98" s="2">
        <f t="shared" si="6"/>
        <v>2036</v>
      </c>
      <c r="D98" s="2">
        <f t="shared" si="8"/>
        <v>2027</v>
      </c>
      <c r="E98" s="2">
        <f t="shared" si="7"/>
        <v>2035</v>
      </c>
      <c r="F98" s="2">
        <f t="shared" si="9"/>
        <v>2034</v>
      </c>
      <c r="G98" s="20"/>
    </row>
    <row r="99" spans="2:7" x14ac:dyDescent="0.2">
      <c r="B99" s="4">
        <f>IF(COUNTIF($B$3:B98, B98)=B98, B98+1, B98)</f>
        <v>14</v>
      </c>
      <c r="C99" s="2">
        <f t="shared" si="6"/>
        <v>2036</v>
      </c>
      <c r="D99" s="2">
        <f t="shared" si="8"/>
        <v>2028</v>
      </c>
      <c r="E99" s="2" t="str">
        <f t="shared" si="7"/>
        <v>N/A</v>
      </c>
      <c r="F99" s="2">
        <f t="shared" si="9"/>
        <v>2034</v>
      </c>
      <c r="G99" s="20"/>
    </row>
    <row r="100" spans="2:7" x14ac:dyDescent="0.2">
      <c r="B100" s="4">
        <f>IF(COUNTIF($B$3:B99, B99)=B99, B99+1, B99)</f>
        <v>14</v>
      </c>
      <c r="C100" s="2">
        <f t="shared" si="6"/>
        <v>2036</v>
      </c>
      <c r="D100" s="2">
        <f t="shared" si="8"/>
        <v>2029</v>
      </c>
      <c r="E100" s="2" t="str">
        <f t="shared" si="7"/>
        <v>N/A</v>
      </c>
      <c r="F100" s="2">
        <f t="shared" si="9"/>
        <v>2034</v>
      </c>
      <c r="G100" s="20"/>
    </row>
    <row r="101" spans="2:7" x14ac:dyDescent="0.2">
      <c r="B101" s="4">
        <f>IF(COUNTIF($B$3:B100, B100)=B100, B100+1, B100)</f>
        <v>14</v>
      </c>
      <c r="C101" s="2">
        <f t="shared" si="6"/>
        <v>2036</v>
      </c>
      <c r="D101" s="2">
        <f t="shared" si="8"/>
        <v>2030</v>
      </c>
      <c r="E101" s="2" t="str">
        <f t="shared" si="7"/>
        <v>N/A</v>
      </c>
      <c r="F101" s="2">
        <f t="shared" si="9"/>
        <v>2034</v>
      </c>
      <c r="G101" s="20"/>
    </row>
    <row r="102" spans="2:7" x14ac:dyDescent="0.2">
      <c r="B102" s="4">
        <f>IF(COUNTIF($B$3:B101, B101)=B101, B101+1, B101)</f>
        <v>14</v>
      </c>
      <c r="C102" s="2">
        <f t="shared" si="6"/>
        <v>2036</v>
      </c>
      <c r="D102" s="2">
        <f t="shared" si="8"/>
        <v>2031</v>
      </c>
      <c r="E102" s="2" t="str">
        <f t="shared" si="7"/>
        <v>N/A</v>
      </c>
      <c r="F102" s="2">
        <f t="shared" si="9"/>
        <v>2034</v>
      </c>
      <c r="G102" s="20"/>
    </row>
    <row r="103" spans="2:7" x14ac:dyDescent="0.2">
      <c r="B103" s="4">
        <f>IF(COUNTIF($B$3:B102, B102)=B102, B102+1, B102)</f>
        <v>14</v>
      </c>
      <c r="C103" s="2">
        <f t="shared" si="6"/>
        <v>2036</v>
      </c>
      <c r="D103" s="2">
        <f t="shared" si="8"/>
        <v>2032</v>
      </c>
      <c r="E103" s="2" t="str">
        <f t="shared" si="7"/>
        <v>N/A</v>
      </c>
      <c r="F103" s="2">
        <f t="shared" si="9"/>
        <v>2034</v>
      </c>
      <c r="G103" s="20"/>
    </row>
    <row r="104" spans="2:7" x14ac:dyDescent="0.2">
      <c r="B104" s="4">
        <f>IF(COUNTIF($B$3:B103, B103)=B103, B103+1, B103)</f>
        <v>14</v>
      </c>
      <c r="C104" s="2">
        <f t="shared" si="6"/>
        <v>2036</v>
      </c>
      <c r="D104" s="2">
        <f t="shared" si="8"/>
        <v>2033</v>
      </c>
      <c r="E104" s="2" t="str">
        <f t="shared" si="7"/>
        <v>N/A</v>
      </c>
      <c r="F104" s="2">
        <f t="shared" si="9"/>
        <v>2034</v>
      </c>
      <c r="G104" s="20"/>
    </row>
    <row r="105" spans="2:7" x14ac:dyDescent="0.2">
      <c r="B105" s="4">
        <f>IF(COUNTIF($B$3:B104, B104)=B104, B104+1, B104)</f>
        <v>14</v>
      </c>
      <c r="C105" s="2">
        <f t="shared" si="6"/>
        <v>2036</v>
      </c>
      <c r="D105" s="2">
        <f t="shared" si="8"/>
        <v>2034</v>
      </c>
      <c r="E105" s="2" t="str">
        <f t="shared" si="7"/>
        <v>N/A</v>
      </c>
      <c r="F105" s="2">
        <f t="shared" si="9"/>
        <v>2034</v>
      </c>
      <c r="G105" s="20"/>
    </row>
    <row r="106" spans="2:7" x14ac:dyDescent="0.2">
      <c r="B106" s="4">
        <f>IF(COUNTIF($B$3:B105, B105)=B105, B105+1, B105)</f>
        <v>14</v>
      </c>
      <c r="C106" s="2">
        <f t="shared" si="6"/>
        <v>2036</v>
      </c>
      <c r="D106" s="2">
        <f t="shared" si="8"/>
        <v>2035</v>
      </c>
      <c r="E106" s="2" t="str">
        <f t="shared" si="7"/>
        <v>N/A</v>
      </c>
      <c r="F106" s="2">
        <f t="shared" si="9"/>
        <v>2034</v>
      </c>
      <c r="G106" s="20"/>
    </row>
    <row r="107" spans="2:7" ht="17" thickBot="1" x14ac:dyDescent="0.25">
      <c r="B107" s="5">
        <f>IF(COUNTIF($B$3:B106, B106)=B106, B106+1, B106)</f>
        <v>14</v>
      </c>
      <c r="C107" s="6">
        <f t="shared" si="6"/>
        <v>2036</v>
      </c>
      <c r="D107" s="6">
        <f t="shared" si="8"/>
        <v>2036</v>
      </c>
      <c r="E107" s="6" t="str">
        <f t="shared" si="7"/>
        <v>N/A</v>
      </c>
      <c r="F107" s="6">
        <f t="shared" si="9"/>
        <v>2034</v>
      </c>
      <c r="G107" s="19"/>
    </row>
    <row r="108" spans="2:7" x14ac:dyDescent="0.2">
      <c r="B108" s="10">
        <f>IF(COUNTIF($B$3:B107, B107)=B107, B107+1, B107)</f>
        <v>15</v>
      </c>
      <c r="C108" s="11">
        <f t="shared" si="6"/>
        <v>2037</v>
      </c>
      <c r="D108" s="11">
        <f t="shared" si="8"/>
        <v>2023</v>
      </c>
      <c r="E108" s="11">
        <f t="shared" si="7"/>
        <v>2031</v>
      </c>
      <c r="F108" s="11">
        <f t="shared" si="9"/>
        <v>2036</v>
      </c>
      <c r="G108" s="21"/>
    </row>
    <row r="109" spans="2:7" x14ac:dyDescent="0.2">
      <c r="B109" s="4">
        <f>IF(COUNTIF($B$3:B108, B108)=B108, B108+1, B108)</f>
        <v>15</v>
      </c>
      <c r="C109" s="2">
        <f t="shared" si="6"/>
        <v>2037</v>
      </c>
      <c r="D109" s="2">
        <f t="shared" si="8"/>
        <v>2024</v>
      </c>
      <c r="E109" s="2">
        <f t="shared" si="7"/>
        <v>2032</v>
      </c>
      <c r="F109" s="2">
        <f t="shared" si="9"/>
        <v>2036</v>
      </c>
      <c r="G109" s="20"/>
    </row>
    <row r="110" spans="2:7" x14ac:dyDescent="0.2">
      <c r="B110" s="4">
        <f>IF(COUNTIF($B$3:B109, B109)=B109, B109+1, B109)</f>
        <v>15</v>
      </c>
      <c r="C110" s="2">
        <f t="shared" si="6"/>
        <v>2037</v>
      </c>
      <c r="D110" s="2">
        <f t="shared" si="8"/>
        <v>2025</v>
      </c>
      <c r="E110" s="2">
        <f t="shared" si="7"/>
        <v>2033</v>
      </c>
      <c r="F110" s="2">
        <f t="shared" si="9"/>
        <v>2036</v>
      </c>
      <c r="G110" s="20"/>
    </row>
    <row r="111" spans="2:7" x14ac:dyDescent="0.2">
      <c r="B111" s="4">
        <f>IF(COUNTIF($B$3:B110, B110)=B110, B110+1, B110)</f>
        <v>15</v>
      </c>
      <c r="C111" s="2">
        <f t="shared" si="6"/>
        <v>2037</v>
      </c>
      <c r="D111" s="2">
        <f t="shared" si="8"/>
        <v>2026</v>
      </c>
      <c r="E111" s="2">
        <f t="shared" si="7"/>
        <v>2034</v>
      </c>
      <c r="F111" s="2">
        <f t="shared" si="9"/>
        <v>2036</v>
      </c>
      <c r="G111" s="20"/>
    </row>
    <row r="112" spans="2:7" x14ac:dyDescent="0.2">
      <c r="B112" s="4">
        <f>IF(COUNTIF($B$3:B111, B111)=B111, B111+1, B111)</f>
        <v>15</v>
      </c>
      <c r="C112" s="2">
        <f t="shared" si="6"/>
        <v>2037</v>
      </c>
      <c r="D112" s="2">
        <f t="shared" si="8"/>
        <v>2027</v>
      </c>
      <c r="E112" s="2">
        <f t="shared" si="7"/>
        <v>2035</v>
      </c>
      <c r="F112" s="2">
        <f t="shared" si="9"/>
        <v>2036</v>
      </c>
      <c r="G112" s="20"/>
    </row>
    <row r="113" spans="2:7" x14ac:dyDescent="0.2">
      <c r="B113" s="4">
        <f>IF(COUNTIF($B$3:B112, B112)=B112, B112+1, B112)</f>
        <v>15</v>
      </c>
      <c r="C113" s="2">
        <f t="shared" si="6"/>
        <v>2037</v>
      </c>
      <c r="D113" s="2">
        <f t="shared" si="8"/>
        <v>2028</v>
      </c>
      <c r="E113" s="2" t="str">
        <f t="shared" si="7"/>
        <v>N/A</v>
      </c>
      <c r="F113" s="2">
        <f t="shared" si="9"/>
        <v>2036</v>
      </c>
      <c r="G113" s="20"/>
    </row>
    <row r="114" spans="2:7" x14ac:dyDescent="0.2">
      <c r="B114" s="4">
        <f>IF(COUNTIF($B$3:B113, B113)=B113, B113+1, B113)</f>
        <v>15</v>
      </c>
      <c r="C114" s="2">
        <f t="shared" si="6"/>
        <v>2037</v>
      </c>
      <c r="D114" s="2">
        <f t="shared" si="8"/>
        <v>2029</v>
      </c>
      <c r="E114" s="2" t="str">
        <f t="shared" si="7"/>
        <v>N/A</v>
      </c>
      <c r="F114" s="2">
        <f t="shared" si="9"/>
        <v>2036</v>
      </c>
      <c r="G114" s="20"/>
    </row>
    <row r="115" spans="2:7" x14ac:dyDescent="0.2">
      <c r="B115" s="4">
        <f>IF(COUNTIF($B$3:B114, B114)=B114, B114+1, B114)</f>
        <v>15</v>
      </c>
      <c r="C115" s="2">
        <f t="shared" si="6"/>
        <v>2037</v>
      </c>
      <c r="D115" s="2">
        <f t="shared" si="8"/>
        <v>2030</v>
      </c>
      <c r="E115" s="2" t="str">
        <f t="shared" si="7"/>
        <v>N/A</v>
      </c>
      <c r="F115" s="2">
        <f t="shared" si="9"/>
        <v>2036</v>
      </c>
      <c r="G115" s="20"/>
    </row>
    <row r="116" spans="2:7" x14ac:dyDescent="0.2">
      <c r="B116" s="4">
        <f>IF(COUNTIF($B$3:B115, B115)=B115, B115+1, B115)</f>
        <v>15</v>
      </c>
      <c r="C116" s="2">
        <f t="shared" si="6"/>
        <v>2037</v>
      </c>
      <c r="D116" s="2">
        <f t="shared" si="8"/>
        <v>2031</v>
      </c>
      <c r="E116" s="2" t="str">
        <f t="shared" si="7"/>
        <v>N/A</v>
      </c>
      <c r="F116" s="2">
        <f t="shared" si="9"/>
        <v>2036</v>
      </c>
      <c r="G116" s="20"/>
    </row>
    <row r="117" spans="2:7" x14ac:dyDescent="0.2">
      <c r="B117" s="4">
        <f>IF(COUNTIF($B$3:B116, B116)=B116, B116+1, B116)</f>
        <v>15</v>
      </c>
      <c r="C117" s="2">
        <f t="shared" si="6"/>
        <v>2037</v>
      </c>
      <c r="D117" s="2">
        <f t="shared" si="8"/>
        <v>2032</v>
      </c>
      <c r="E117" s="2" t="str">
        <f t="shared" si="7"/>
        <v>N/A</v>
      </c>
      <c r="F117" s="2">
        <f t="shared" si="9"/>
        <v>2036</v>
      </c>
      <c r="G117" s="20"/>
    </row>
    <row r="118" spans="2:7" x14ac:dyDescent="0.2">
      <c r="B118" s="4">
        <f>IF(COUNTIF($B$3:B117, B117)=B117, B117+1, B117)</f>
        <v>15</v>
      </c>
      <c r="C118" s="2">
        <f t="shared" si="6"/>
        <v>2037</v>
      </c>
      <c r="D118" s="2">
        <f t="shared" si="8"/>
        <v>2033</v>
      </c>
      <c r="E118" s="2" t="str">
        <f t="shared" si="7"/>
        <v>N/A</v>
      </c>
      <c r="F118" s="2">
        <f t="shared" si="9"/>
        <v>2036</v>
      </c>
      <c r="G118" s="20"/>
    </row>
    <row r="119" spans="2:7" x14ac:dyDescent="0.2">
      <c r="B119" s="4">
        <f>IF(COUNTIF($B$3:B118, B118)=B118, B118+1, B118)</f>
        <v>15</v>
      </c>
      <c r="C119" s="2">
        <f t="shared" si="6"/>
        <v>2037</v>
      </c>
      <c r="D119" s="2">
        <f t="shared" si="8"/>
        <v>2034</v>
      </c>
      <c r="E119" s="2" t="str">
        <f t="shared" si="7"/>
        <v>N/A</v>
      </c>
      <c r="F119" s="2">
        <f t="shared" si="9"/>
        <v>2036</v>
      </c>
      <c r="G119" s="20"/>
    </row>
    <row r="120" spans="2:7" x14ac:dyDescent="0.2">
      <c r="B120" s="4">
        <f>IF(COUNTIF($B$3:B119, B119)=B119, B119+1, B119)</f>
        <v>15</v>
      </c>
      <c r="C120" s="2">
        <f t="shared" si="6"/>
        <v>2037</v>
      </c>
      <c r="D120" s="2">
        <f t="shared" si="8"/>
        <v>2035</v>
      </c>
      <c r="E120" s="2" t="str">
        <f t="shared" si="7"/>
        <v>N/A</v>
      </c>
      <c r="F120" s="2">
        <f t="shared" si="9"/>
        <v>2036</v>
      </c>
      <c r="G120" s="20"/>
    </row>
    <row r="121" spans="2:7" x14ac:dyDescent="0.2">
      <c r="B121" s="4">
        <f>IF(COUNTIF($B$3:B120, B120)=B120, B120+1, B120)</f>
        <v>15</v>
      </c>
      <c r="C121" s="2">
        <f t="shared" si="6"/>
        <v>2037</v>
      </c>
      <c r="D121" s="2">
        <f t="shared" si="8"/>
        <v>2036</v>
      </c>
      <c r="E121" s="2" t="str">
        <f t="shared" si="7"/>
        <v>N/A</v>
      </c>
      <c r="F121" s="2">
        <f t="shared" si="9"/>
        <v>2036</v>
      </c>
      <c r="G121" s="20"/>
    </row>
    <row r="122" spans="2:7" ht="17" thickBot="1" x14ac:dyDescent="0.25">
      <c r="B122" s="5">
        <f>IF(COUNTIF($B$3:B121, B121)=B121, B121+1, B121)</f>
        <v>15</v>
      </c>
      <c r="C122" s="6">
        <f t="shared" si="6"/>
        <v>2037</v>
      </c>
      <c r="D122" s="6">
        <f t="shared" si="8"/>
        <v>2037</v>
      </c>
      <c r="E122" s="6" t="str">
        <f t="shared" si="7"/>
        <v>N/A</v>
      </c>
      <c r="F122" s="6">
        <f t="shared" si="9"/>
        <v>2036</v>
      </c>
      <c r="G122" s="19"/>
    </row>
  </sheetData>
  <conditionalFormatting sqref="J3:J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2026-09-08T23:40:49Z</dcterms:created>
  <dcterms:modified xsi:type="dcterms:W3CDTF">2026-09-09T01:13:39Z</dcterms:modified>
</cp:coreProperties>
</file>